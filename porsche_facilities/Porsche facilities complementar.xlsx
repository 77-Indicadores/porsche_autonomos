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W:\PLANEJAMENTO ESTRATÉGICO RH\2026\INDICADORES\BASE DE INDICADORES - EQUIPE RHU\"/>
    </mc:Choice>
  </mc:AlternateContent>
  <xr:revisionPtr revIDLastSave="0" documentId="13_ncr:1_{A4FF5060-9D93-451A-A6D0-6307869863CC}" xr6:coauthVersionLast="47" xr6:coauthVersionMax="47" xr10:uidLastSave="{00000000-0000-0000-0000-000000000000}"/>
  <bookViews>
    <workbookView xWindow="-110" yWindow="-110" windowWidth="19420" windowHeight="11500" xr2:uid="{9C4D1574-C0BD-4493-B64D-B5AD8F2BA82B}"/>
  </bookViews>
  <sheets>
    <sheet name="FACILITIES" sheetId="1" r:id="rId1"/>
    <sheet name="LISTA SUSPENS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6" i="1" l="1"/>
  <c r="G116" i="1" a="1"/>
  <c r="G116" i="1" s="1"/>
  <c r="N116" i="1"/>
  <c r="O116" i="1"/>
  <c r="A115" i="1"/>
  <c r="G115" i="1" a="1"/>
  <c r="G115" i="1" s="1"/>
  <c r="N115" i="1"/>
  <c r="O115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88" i="1"/>
  <c r="A89" i="1"/>
  <c r="A90" i="1"/>
  <c r="A91" i="1"/>
  <c r="G91" i="1" a="1"/>
  <c r="G91" i="1" s="1"/>
  <c r="G92" i="1" a="1"/>
  <c r="G92" i="1" s="1"/>
  <c r="G93" i="1" a="1"/>
  <c r="G93" i="1" s="1"/>
  <c r="G94" i="1" a="1"/>
  <c r="G94" i="1" s="1"/>
  <c r="G95" i="1" a="1"/>
  <c r="G95" i="1" s="1"/>
  <c r="G96" i="1" a="1"/>
  <c r="G96" i="1" s="1"/>
  <c r="G97" i="1" a="1"/>
  <c r="G97" i="1" s="1"/>
  <c r="N94" i="1"/>
  <c r="O94" i="1"/>
  <c r="N95" i="1"/>
  <c r="O95" i="1"/>
  <c r="N93" i="1"/>
  <c r="O93" i="1"/>
  <c r="N92" i="1"/>
  <c r="O92" i="1"/>
  <c r="G88" i="1" a="1"/>
  <c r="G88" i="1" s="1"/>
  <c r="N88" i="1"/>
  <c r="O88" i="1"/>
  <c r="G89" i="1" a="1"/>
  <c r="G89" i="1" s="1"/>
  <c r="N89" i="1"/>
  <c r="O89" i="1"/>
  <c r="G90" i="1" a="1"/>
  <c r="G90" i="1" s="1"/>
  <c r="N90" i="1"/>
  <c r="O90" i="1"/>
  <c r="N91" i="1"/>
  <c r="O91" i="1"/>
  <c r="N96" i="1"/>
  <c r="O96" i="1"/>
  <c r="N97" i="1"/>
  <c r="O97" i="1"/>
  <c r="G103" i="1" a="1"/>
  <c r="G103" i="1" s="1"/>
  <c r="G114" i="1" a="1"/>
  <c r="G114" i="1" s="1"/>
  <c r="N114" i="1"/>
  <c r="O114" i="1"/>
  <c r="G98" i="1" a="1"/>
  <c r="G98" i="1" s="1"/>
  <c r="G99" i="1" a="1"/>
  <c r="G99" i="1" s="1"/>
  <c r="G100" i="1" a="1"/>
  <c r="G100" i="1" s="1"/>
  <c r="G101" i="1" a="1"/>
  <c r="G101" i="1" s="1"/>
  <c r="G102" i="1" a="1"/>
  <c r="G102" i="1" s="1"/>
  <c r="G104" i="1" a="1"/>
  <c r="G104" i="1" s="1"/>
  <c r="G105" i="1" a="1"/>
  <c r="G105" i="1" s="1"/>
  <c r="G106" i="1" a="1"/>
  <c r="G106" i="1" s="1"/>
  <c r="G107" i="1" a="1"/>
  <c r="G107" i="1" s="1"/>
  <c r="G108" i="1" a="1"/>
  <c r="G108" i="1" s="1"/>
  <c r="G109" i="1" a="1"/>
  <c r="G109" i="1" s="1"/>
  <c r="G110" i="1" a="1"/>
  <c r="G110" i="1" s="1"/>
  <c r="G111" i="1" a="1"/>
  <c r="G111" i="1" s="1"/>
  <c r="G112" i="1" a="1"/>
  <c r="G112" i="1" s="1"/>
  <c r="G113" i="1" a="1"/>
  <c r="G113" i="1" s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G87" i="1" a="1"/>
  <c r="G87" i="1" s="1"/>
  <c r="N87" i="1"/>
  <c r="O87" i="1"/>
  <c r="N60" i="1"/>
  <c r="G86" i="1" a="1"/>
  <c r="G86" i="1" s="1"/>
  <c r="N86" i="1"/>
  <c r="O86" i="1"/>
  <c r="G85" i="1" a="1"/>
  <c r="G85" i="1" s="1"/>
  <c r="N85" i="1"/>
  <c r="O85" i="1"/>
  <c r="G84" i="1" a="1"/>
  <c r="G84" i="1" s="1"/>
  <c r="N84" i="1"/>
  <c r="O84" i="1"/>
  <c r="G83" i="1" a="1"/>
  <c r="G83" i="1" s="1"/>
  <c r="N83" i="1"/>
  <c r="O83" i="1"/>
  <c r="G82" i="1" a="1"/>
  <c r="G82" i="1" s="1"/>
  <c r="N82" i="1"/>
  <c r="O82" i="1"/>
  <c r="G81" i="1" a="1"/>
  <c r="G81" i="1" s="1"/>
  <c r="N81" i="1"/>
  <c r="O81" i="1"/>
  <c r="G80" i="1" a="1"/>
  <c r="G80" i="1" s="1"/>
  <c r="N80" i="1"/>
  <c r="O80" i="1"/>
  <c r="G79" i="1" a="1"/>
  <c r="G79" i="1" s="1"/>
  <c r="G76" i="1" a="1"/>
  <c r="G76" i="1" s="1"/>
  <c r="G77" i="1" a="1"/>
  <c r="G77" i="1" s="1"/>
  <c r="G78" i="1" a="1"/>
  <c r="G78" i="1" s="1"/>
  <c r="N76" i="1"/>
  <c r="N77" i="1"/>
  <c r="N78" i="1"/>
  <c r="N79" i="1"/>
  <c r="O76" i="1"/>
  <c r="O77" i="1"/>
  <c r="O78" i="1"/>
  <c r="O79" i="1"/>
  <c r="N38" i="1"/>
  <c r="N39" i="1"/>
  <c r="N40" i="1"/>
  <c r="N41" i="1"/>
  <c r="G75" i="1" a="1"/>
  <c r="G75" i="1" s="1"/>
  <c r="N75" i="1"/>
  <c r="O75" i="1"/>
  <c r="G73" i="1" a="1"/>
  <c r="G73" i="1" s="1"/>
  <c r="G74" i="1" a="1"/>
  <c r="G74" i="1" s="1"/>
  <c r="N73" i="1"/>
  <c r="N74" i="1"/>
  <c r="O73" i="1"/>
  <c r="O74" i="1"/>
  <c r="G72" i="1" a="1"/>
  <c r="G72" i="1" s="1"/>
  <c r="N72" i="1"/>
  <c r="O72" i="1"/>
  <c r="G71" i="1" a="1"/>
  <c r="G71" i="1" s="1"/>
  <c r="G69" i="1" a="1"/>
  <c r="G69" i="1" s="1"/>
  <c r="G70" i="1" a="1"/>
  <c r="G70" i="1" s="1"/>
  <c r="N69" i="1"/>
  <c r="N70" i="1"/>
  <c r="N71" i="1"/>
  <c r="O69" i="1"/>
  <c r="O70" i="1"/>
  <c r="O71" i="1"/>
  <c r="G66" i="1" a="1"/>
  <c r="G66" i="1" s="1"/>
  <c r="N66" i="1"/>
  <c r="O66" i="1"/>
  <c r="G68" i="1" a="1"/>
  <c r="G68" i="1" s="1"/>
  <c r="N68" i="1"/>
  <c r="O68" i="1"/>
  <c r="G67" i="1" a="1"/>
  <c r="G67" i="1" s="1"/>
  <c r="N67" i="1"/>
  <c r="O67" i="1"/>
  <c r="G65" i="1" l="1" a="1"/>
  <c r="G65" i="1" s="1"/>
  <c r="N65" i="1"/>
  <c r="O65" i="1"/>
  <c r="G30" i="1" a="1"/>
  <c r="G30" i="1" s="1"/>
  <c r="N30" i="1"/>
  <c r="O30" i="1"/>
  <c r="G29" i="1" a="1"/>
  <c r="G29" i="1" s="1"/>
  <c r="N29" i="1"/>
  <c r="O29" i="1"/>
  <c r="G28" i="1" a="1"/>
  <c r="G28" i="1" s="1"/>
  <c r="N28" i="1"/>
  <c r="O28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G23" i="1" a="1"/>
  <c r="G23" i="1" s="1"/>
  <c r="N23" i="1"/>
  <c r="G24" i="1" a="1"/>
  <c r="G24" i="1" s="1"/>
  <c r="N24" i="1"/>
  <c r="G25" i="1" a="1"/>
  <c r="G25" i="1" s="1"/>
  <c r="N25" i="1"/>
  <c r="G19" i="1" a="1"/>
  <c r="G19" i="1" s="1"/>
  <c r="N19" i="1"/>
  <c r="G20" i="1" a="1"/>
  <c r="G20" i="1" s="1"/>
  <c r="N20" i="1"/>
  <c r="G18" i="1" a="1"/>
  <c r="G18" i="1" s="1"/>
  <c r="N18" i="1"/>
  <c r="G21" i="1" a="1"/>
  <c r="G21" i="1" s="1"/>
  <c r="N21" i="1"/>
  <c r="A3" i="1"/>
  <c r="G4" i="1" a="1"/>
  <c r="G4" i="1" s="1"/>
  <c r="N4" i="1"/>
  <c r="B4" i="1"/>
  <c r="G3" i="1" a="1"/>
  <c r="G3" i="1" s="1"/>
  <c r="N3" i="1"/>
  <c r="O3" i="1"/>
  <c r="G16" i="1" a="1"/>
  <c r="G16" i="1" s="1"/>
  <c r="N16" i="1"/>
  <c r="G13" i="1" a="1"/>
  <c r="G13" i="1" s="1"/>
  <c r="N13" i="1"/>
  <c r="G12" i="1" a="1"/>
  <c r="G12" i="1" s="1"/>
  <c r="N12" i="1"/>
  <c r="G11" i="1" a="1"/>
  <c r="G11" i="1" s="1"/>
  <c r="N11" i="1"/>
  <c r="G8" i="1" a="1"/>
  <c r="G8" i="1" s="1"/>
  <c r="N8" i="1"/>
  <c r="G9" i="1" a="1"/>
  <c r="G9" i="1" s="1"/>
  <c r="N9" i="1"/>
  <c r="G64" i="1" l="1" a="1"/>
  <c r="G64" i="1" s="1"/>
  <c r="G63" i="1" a="1"/>
  <c r="G63" i="1" s="1"/>
  <c r="N63" i="1"/>
  <c r="N64" i="1"/>
  <c r="G56" i="1" a="1"/>
  <c r="G56" i="1" s="1"/>
  <c r="G57" i="1" a="1"/>
  <c r="G57" i="1" s="1"/>
  <c r="G58" i="1" a="1"/>
  <c r="G58" i="1" s="1"/>
  <c r="G59" i="1" a="1"/>
  <c r="G59" i="1" s="1"/>
  <c r="G60" i="1" a="1"/>
  <c r="G60" i="1" s="1"/>
  <c r="G61" i="1" a="1"/>
  <c r="G61" i="1" s="1"/>
  <c r="G62" i="1" a="1"/>
  <c r="G62" i="1" s="1"/>
  <c r="N56" i="1"/>
  <c r="N57" i="1"/>
  <c r="N58" i="1"/>
  <c r="N59" i="1"/>
  <c r="N61" i="1"/>
  <c r="N62" i="1"/>
  <c r="G55" i="1" a="1"/>
  <c r="G55" i="1" s="1"/>
  <c r="G54" i="1" a="1"/>
  <c r="G54" i="1" s="1"/>
  <c r="N54" i="1"/>
  <c r="G44" i="1" a="1"/>
  <c r="G44" i="1" s="1"/>
  <c r="G45" i="1" a="1"/>
  <c r="G45" i="1" s="1"/>
  <c r="G46" i="1" a="1"/>
  <c r="G46" i="1" s="1"/>
  <c r="G47" i="1" a="1"/>
  <c r="G47" i="1" s="1"/>
  <c r="G48" i="1" a="1"/>
  <c r="G48" i="1" s="1"/>
  <c r="G49" i="1" a="1"/>
  <c r="G49" i="1" s="1"/>
  <c r="G50" i="1" a="1"/>
  <c r="G50" i="1" s="1"/>
  <c r="G51" i="1" a="1"/>
  <c r="G51" i="1" s="1"/>
  <c r="G52" i="1" a="1"/>
  <c r="G52" i="1" s="1"/>
  <c r="G53" i="1" a="1"/>
  <c r="G53" i="1" s="1"/>
  <c r="N44" i="1"/>
  <c r="N45" i="1"/>
  <c r="N46" i="1"/>
  <c r="N47" i="1"/>
  <c r="N48" i="1"/>
  <c r="N49" i="1"/>
  <c r="N50" i="1"/>
  <c r="N51" i="1"/>
  <c r="N52" i="1"/>
  <c r="N53" i="1"/>
  <c r="G40" i="1" a="1"/>
  <c r="G40" i="1" s="1"/>
  <c r="G41" i="1" a="1"/>
  <c r="G41" i="1" s="1"/>
  <c r="G42" i="1" a="1"/>
  <c r="G42" i="1" s="1"/>
  <c r="G43" i="1" a="1"/>
  <c r="G43" i="1" s="1"/>
  <c r="N42" i="1"/>
  <c r="N43" i="1"/>
  <c r="G5" i="1" a="1"/>
  <c r="G5" i="1" s="1"/>
  <c r="G6" i="1" a="1"/>
  <c r="G6" i="1" s="1"/>
  <c r="G7" i="1" a="1"/>
  <c r="G7" i="1" s="1"/>
  <c r="G10" i="1" a="1"/>
  <c r="G10" i="1" s="1"/>
  <c r="G14" i="1" a="1"/>
  <c r="G14" i="1" s="1"/>
  <c r="G15" i="1" a="1"/>
  <c r="G15" i="1" s="1"/>
  <c r="G17" i="1" a="1"/>
  <c r="G17" i="1" s="1"/>
  <c r="G22" i="1" a="1"/>
  <c r="G22" i="1" s="1"/>
  <c r="G26" i="1" a="1"/>
  <c r="G26" i="1" s="1"/>
  <c r="G27" i="1" a="1"/>
  <c r="G27" i="1" s="1"/>
  <c r="G31" i="1" a="1"/>
  <c r="G31" i="1" s="1"/>
  <c r="G32" i="1" a="1"/>
  <c r="G32" i="1" s="1"/>
  <c r="G33" i="1" a="1"/>
  <c r="G33" i="1" s="1"/>
  <c r="G34" i="1" a="1"/>
  <c r="G34" i="1" s="1"/>
  <c r="G35" i="1" a="1"/>
  <c r="G35" i="1" s="1"/>
  <c r="G36" i="1" a="1"/>
  <c r="G36" i="1" s="1"/>
  <c r="G37" i="1" a="1"/>
  <c r="G37" i="1" s="1"/>
  <c r="G38" i="1" a="1"/>
  <c r="G38" i="1" s="1"/>
  <c r="G39" i="1" a="1"/>
  <c r="G39" i="1" s="1"/>
  <c r="N14" i="1"/>
  <c r="N15" i="1"/>
  <c r="N17" i="1"/>
  <c r="N22" i="1"/>
  <c r="N26" i="1"/>
  <c r="N27" i="1"/>
  <c r="N31" i="1"/>
  <c r="N32" i="1"/>
  <c r="N33" i="1"/>
  <c r="N34" i="1"/>
  <c r="N35" i="1"/>
  <c r="N36" i="1"/>
  <c r="N37" i="1"/>
  <c r="N10" i="1"/>
  <c r="N5" i="1"/>
  <c r="N6" i="1"/>
  <c r="N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tc={7D9D18CD-0B20-43CF-9A72-3D57C882D6B5}</author>
    <author>tc={27EEDE2D-FF6B-4F81-94B5-CF3FE08653DC}</author>
  </authors>
  <commentList>
    <comment ref="S41" authorId="0" shapeId="0" xr:uid="{7D9D18CD-0B20-43CF-9A72-3D57C882D6B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Esse serviço será incluso junto a limpeza de caixas d´agua e calhas </t>
      </text>
    </comment>
    <comment ref="T41" authorId="1" shapeId="0" xr:uid="{27EEDE2D-FF6B-4F81-94B5-CF3FE08653D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Esse serviço será incluso junto a limpeza de caixas d´agua e calhas 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<sst xmlns="http://schemas.openxmlformats.org/spreadsheetml/2006/main" count="1182" uniqueCount="273">
  <si>
    <t>QTDE.</t>
  </si>
  <si>
    <t>SOLICITANTE</t>
  </si>
  <si>
    <t>SETOR</t>
  </si>
  <si>
    <t>ADE</t>
  </si>
  <si>
    <t>ADM</t>
  </si>
  <si>
    <t>ALM</t>
  </si>
  <si>
    <t>ALN</t>
  </si>
  <si>
    <t>CLA</t>
  </si>
  <si>
    <t>CT1</t>
  </si>
  <si>
    <t>CT2</t>
  </si>
  <si>
    <t>CT3</t>
  </si>
  <si>
    <t>DEM</t>
  </si>
  <si>
    <t>DOP</t>
  </si>
  <si>
    <t>DPR</t>
  </si>
  <si>
    <t>ENG</t>
  </si>
  <si>
    <t>ENQ</t>
  </si>
  <si>
    <t>EVT</t>
  </si>
  <si>
    <t>FUN</t>
  </si>
  <si>
    <t>LOG</t>
  </si>
  <si>
    <t>MKT</t>
  </si>
  <si>
    <t>PEC</t>
  </si>
  <si>
    <t>PER</t>
  </si>
  <si>
    <t>PNR</t>
  </si>
  <si>
    <t>PRE</t>
  </si>
  <si>
    <t>PWT</t>
  </si>
  <si>
    <t>RED</t>
  </si>
  <si>
    <t>RHU</t>
  </si>
  <si>
    <t>DATA ABERTURA</t>
  </si>
  <si>
    <t>MÊS</t>
  </si>
  <si>
    <t>ANO</t>
  </si>
  <si>
    <t>UNIDADE/LOCAL</t>
  </si>
  <si>
    <t>TIPO ATENDIMENTO</t>
  </si>
  <si>
    <t>DATA INICIO</t>
  </si>
  <si>
    <t>DATA FINALIZAÇÃO</t>
  </si>
  <si>
    <t>ÁREA/SERVIÇO</t>
  </si>
  <si>
    <t>RETRABALHO</t>
  </si>
  <si>
    <t>CUSTO</t>
  </si>
  <si>
    <t>OBSERVAÇÃO</t>
  </si>
  <si>
    <t>STATUS</t>
  </si>
  <si>
    <t>Elétrica</t>
  </si>
  <si>
    <t>Hidráulica</t>
  </si>
  <si>
    <t>Climatização / Ar Condicionado</t>
  </si>
  <si>
    <t>Gás / Combustível</t>
  </si>
  <si>
    <t>Geradores / No-breaks</t>
  </si>
  <si>
    <t>Telefonia / Cabeamento Estruturado</t>
  </si>
  <si>
    <t>Automação Predial (sensores, CFTV, controles de acesso)</t>
  </si>
  <si>
    <t>Sistema de Incêndio (sprinklers, extintores, alarmes)</t>
  </si>
  <si>
    <t>Limpeza / Higienização</t>
  </si>
  <si>
    <t>Jardinagem / Paisagismo</t>
  </si>
  <si>
    <t>Portaria / Recepção</t>
  </si>
  <si>
    <t>Segurança Patrimonial</t>
  </si>
  <si>
    <t>Controle de Pragas</t>
  </si>
  <si>
    <t>Pintura / Revestimentos</t>
  </si>
  <si>
    <t>Carpintaria / Marcenaria</t>
  </si>
  <si>
    <t>Alvenaria / Estruturas</t>
  </si>
  <si>
    <t>Vidraçaria</t>
  </si>
  <si>
    <t>Móveis (mesas, cadeiras, estações de trabalho)</t>
  </si>
  <si>
    <t>Mudanças Internas / Layout</t>
  </si>
  <si>
    <t>Ergonomia (ajustes em postos de trabalho)</t>
  </si>
  <si>
    <t>Almoxarifado / Estoque Operacional</t>
  </si>
  <si>
    <t>Equipamentos de Uso Geral (bebedouros, micro-ondas, purificadores)</t>
  </si>
  <si>
    <t>Veículos Corporativos</t>
  </si>
  <si>
    <t>Rede de Dados / TI</t>
  </si>
  <si>
    <t>Equipamentos de uso Oficina (Elevador, plataforma, compressor)</t>
  </si>
  <si>
    <t>Sede Stevaux</t>
  </si>
  <si>
    <t>Sede Nova</t>
  </si>
  <si>
    <t>Administrativo</t>
  </si>
  <si>
    <t>Corretivo</t>
  </si>
  <si>
    <t>Emergencial</t>
  </si>
  <si>
    <t>Preventivo</t>
  </si>
  <si>
    <t>Sim</t>
  </si>
  <si>
    <t>Não</t>
  </si>
  <si>
    <t>TEMPO ATENDIMENTO</t>
  </si>
  <si>
    <t>DENTRO DO PRAZO</t>
  </si>
  <si>
    <t>#</t>
  </si>
  <si>
    <t>SETEMBRO</t>
  </si>
  <si>
    <t>MÊS_REF.</t>
  </si>
  <si>
    <t>OUTUBRO</t>
  </si>
  <si>
    <t>JUNHO</t>
  </si>
  <si>
    <t>JANEIRO</t>
  </si>
  <si>
    <t>FEVEREIRO</t>
  </si>
  <si>
    <t>MARÇO</t>
  </si>
  <si>
    <t>ABRIL</t>
  </si>
  <si>
    <t>MAIO</t>
  </si>
  <si>
    <t>JULHO</t>
  </si>
  <si>
    <t>AGOSTO</t>
  </si>
  <si>
    <t>NOVEMBRO</t>
  </si>
  <si>
    <t>DEZEMBRO</t>
  </si>
  <si>
    <t>ENZO</t>
  </si>
  <si>
    <t>JULIANA</t>
  </si>
  <si>
    <t>RODRIGO</t>
  </si>
  <si>
    <t>Portas e Portões</t>
  </si>
  <si>
    <t xml:space="preserve">PORTAO DOS FUNDOS - GARANTIA </t>
  </si>
  <si>
    <t>HIGIENIZAÇAO EM 5 BEBEDOUROS</t>
  </si>
  <si>
    <t>VAZAMENTO AR SALA DO ENZO</t>
  </si>
  <si>
    <t>ORÇAMENTO CONGELADO- AGUARDANDO APROVAÇAO - R$ 8.350,00</t>
  </si>
  <si>
    <t>AMANDA</t>
  </si>
  <si>
    <t xml:space="preserve">IGOR ALEXANDRE </t>
  </si>
  <si>
    <t xml:space="preserve">CASSIA </t>
  </si>
  <si>
    <t xml:space="preserve">Civil </t>
  </si>
  <si>
    <t>Telhado</t>
  </si>
  <si>
    <t>LIMPEZA DE FACHADA PARA F1</t>
  </si>
  <si>
    <t>não</t>
  </si>
  <si>
    <t xml:space="preserve">VAZO ENTUPIDO, VAZAMENTO PRIVADA </t>
  </si>
  <si>
    <t xml:space="preserve">TORNEIRA DO BEBEDURO QUEBRADA, REMOVI UM BEBEDOURO POR OUTRO </t>
  </si>
  <si>
    <t xml:space="preserve">FEITA A TROCA COM A LS AGUA </t>
  </si>
  <si>
    <t xml:space="preserve">TROCA FEITA PELA EQUIPE MANUTENÇAO PREDIAL </t>
  </si>
  <si>
    <t>MATHEUS LAZARO</t>
  </si>
  <si>
    <t xml:space="preserve">GELADEIRA COM FIO DESCONECTADO- FEITO EQUIPE MANUTENÇAO PREDIAL </t>
  </si>
  <si>
    <t>DANIEL PAGANO</t>
  </si>
  <si>
    <t>SAULO BEZERRA</t>
  </si>
  <si>
    <t>RAFAEL BORGES</t>
  </si>
  <si>
    <t xml:space="preserve">VAZAMENTO TELHADO SALA PIZZA, CORREDOR 2 ANDAR, SALA DA BAGUNÇA, RELOGIO DE PONTO </t>
  </si>
  <si>
    <t xml:space="preserve">INSTALAÇAO DE TOMADA SETOR SAULO - EQUIPE MANUTENÇAO PREDIAL </t>
  </si>
  <si>
    <t>PORTAO DA FRENTE COM PROBLEMAS</t>
  </si>
  <si>
    <t>FIO DA BASE DESCONECTADO E DIJUNTOR ERRADO- FEITA A TROCA EQUIPE MANUTENÇAO</t>
  </si>
  <si>
    <t xml:space="preserve">PINO DE SENSOR SOLTO - GARANTIA </t>
  </si>
  <si>
    <t>GIOVANI</t>
  </si>
  <si>
    <t xml:space="preserve">COMPRA E TROCA DE 2 CHUVEIROS PARA BANHEIRO MASCULINO OFICINA </t>
  </si>
  <si>
    <t>TROCA DE TORNEIRA DO BEBEDOURO - FEITO POR JULIANA</t>
  </si>
  <si>
    <t xml:space="preserve">PORTAO DESCARRILHANDO / GARANTIA </t>
  </si>
  <si>
    <t>BRUNO BARBOSA</t>
  </si>
  <si>
    <t xml:space="preserve">MAÇANETA DA PORTA QUEBRADA- COMPRAR E TROCAR </t>
  </si>
  <si>
    <t>Finalizado</t>
  </si>
  <si>
    <t>RENATO LAINO</t>
  </si>
  <si>
    <t>valor da maquina 2.956,98 valor mao de obra 800,00</t>
  </si>
  <si>
    <t>EQUIPE MANUTENÇAO PREDIAL - Mesa de ping pong quebrada, favor arrumar.</t>
  </si>
  <si>
    <t>Joao Pedro Bruni</t>
  </si>
  <si>
    <t>Copa / Cozinha / Vestiários/ banheiros</t>
  </si>
  <si>
    <t xml:space="preserve">POTAO DOS FUNDOS -GARANTIA </t>
  </si>
  <si>
    <t>DRACENA, TERRA, ADUBO, PEDRA BRANCA- TOCA DE PLANTAS DE ENTRADA PREDIO E RECEPÇAO</t>
  </si>
  <si>
    <t>Desmontagem, troca dos rolamentos, recuperação do induzido, troca da bobina.</t>
  </si>
  <si>
    <t>DEMONTAGEM DO SISTEMA, TROCA DO KITS DE REBOBINAMENTO,RECUPERAÇÃO DA PLACA DE ACIONAMENTO, RECUPERAÇÃO DO REDUTOR, TROCA ROLAMENTO</t>
  </si>
  <si>
    <t xml:space="preserve">HIGIENIZAÇAO E SANITIZAÇAO DE PURIFICADORES DE AGUA INTERNA TOTAL 5 UNIDADES </t>
  </si>
  <si>
    <t>CARLOS</t>
  </si>
  <si>
    <t>FIN</t>
  </si>
  <si>
    <t xml:space="preserve">CONSERTO DO VAZAMENTO IDENTIFICADO- TROCA DE CANO E FECHAMENTO DO LOCAL </t>
  </si>
  <si>
    <t xml:space="preserve">RASTREAMENTO E IDENTIFICAÇAO DE PONTO DO VAZAMENTO </t>
  </si>
  <si>
    <t xml:space="preserve">TROCA DE BOCAL DA CALHA DE DRENAGEM DE AGUA DO TELHADO </t>
  </si>
  <si>
    <t xml:space="preserve">TROCA DE LAMPADAS SALA VINICIUS, SALA PIZZA E MARKETING </t>
  </si>
  <si>
    <t xml:space="preserve">DEDETIZAÇAO E DESRATIZAÇAO DE TODAS AS AREAS DO PREDIO + FORMICIDA </t>
  </si>
  <si>
    <t>PIA LAVATORIO,RALO,TORNEIRA PIA COPA, TORNEIRA LAVATORIO, 2 BACIA SANTIARIA VEDAÇAO  ( FOLGA LAVATORIO )</t>
  </si>
  <si>
    <t>TANCINI</t>
  </si>
  <si>
    <t>PODA DE GALHOS DE ARVORE / CAMERAS DE SEGURANÇA VISAO DOS FUNDOS</t>
  </si>
  <si>
    <t>CALAFETAÇAO DE CANTO ATRAVES DE PU40 CINZA( HIPERMIABILIZAÇAO DO CHAO VESTIARIO MASCULINO )</t>
  </si>
  <si>
    <t xml:space="preserve">TROCA DE FECHADURA - PORTA TRAVOU - FEITA ROCA PELO RENATO SILVEIRA EQUIPE TROPHY </t>
  </si>
  <si>
    <t xml:space="preserve">porta com trava na parte inferior- feita a reposiçao correta </t>
  </si>
  <si>
    <t xml:space="preserve">TORNEIRA SALA DE PEÇAS E REGISTRO DO MICTORIO MASCULINO OFICIANA COM VAZAMENTO </t>
  </si>
  <si>
    <t>DAVID SANDLER</t>
  </si>
  <si>
    <t xml:space="preserve">TROCA DE PEÇAS   135,00/ mao de obra 90,00 microndas </t>
  </si>
  <si>
    <t xml:space="preserve">VAZAMENTO NO APARELHO AFETANDO A MESA E EQUIPAMENTOS - VAI SER NECESSARIO TROCA DE VALVULA </t>
  </si>
  <si>
    <t xml:space="preserve">REALIZADO REPARO COM EQUIPE DE MANUTENÇAO PREDIAL </t>
  </si>
  <si>
    <t>PEDRO AGUIAR</t>
  </si>
  <si>
    <t xml:space="preserve">FEITA A TROCA DE VALVULA - ANTERIOR APRESENATAVA DEFEITO - TROCA PELA EBM </t>
  </si>
  <si>
    <t xml:space="preserve">feita a desobstuçao pela equipe de limpeza </t>
  </si>
  <si>
    <t>DAVIS</t>
  </si>
  <si>
    <t>Coluna1</t>
  </si>
  <si>
    <t>PAGAMENTO APROVADO - EM PROCESSO DE ENTREGA -</t>
  </si>
  <si>
    <t>Dedetização</t>
  </si>
  <si>
    <t>Bebedouros</t>
  </si>
  <si>
    <t>Cisternas reuso x sabesp</t>
  </si>
  <si>
    <t xml:space="preserve">Calhas </t>
  </si>
  <si>
    <t>Caixas D´Agua</t>
  </si>
  <si>
    <t xml:space="preserve">Troca de extintores </t>
  </si>
  <si>
    <t xml:space="preserve">PAGAMENTO APROVADO - EM PROCESSO DE ENTREGA - </t>
  </si>
  <si>
    <t>2 Cadeiras setor PER</t>
  </si>
  <si>
    <t>2 Cadeiras setor FIN</t>
  </si>
  <si>
    <t>PROBLEMAS NOS ENSOR E TAMBEM NA MANGUEIRA DE SUSCÇAO DE AR - TROCA REALIZADA POR NOVO FORNECEDOR</t>
  </si>
  <si>
    <t>Elevador carros</t>
  </si>
  <si>
    <t xml:space="preserve">REALIZADA A TROCA PELA EQUIPE DE MANUTENÇAO PREDIAL </t>
  </si>
  <si>
    <t>Valvula ar sala Enzo</t>
  </si>
  <si>
    <t xml:space="preserve">Manutenção Preventiva Mensal </t>
  </si>
  <si>
    <t xml:space="preserve">DESOBISTRUÇAO BUEIRO AREA DA LAVAGEM DE CARROS- </t>
  </si>
  <si>
    <t xml:space="preserve">Lavagem carros </t>
  </si>
  <si>
    <t xml:space="preserve">DESOBISTRUÇAO DE MICTORIO BANHEIRO MASCULINO OFICINA </t>
  </si>
  <si>
    <t xml:space="preserve">Mictorio banheiro oficina </t>
  </si>
  <si>
    <t xml:space="preserve">TROCA DE PORTA BANHEIRO 2° ANDAR -FEITA REFORMA DA PORTA E TROCA DE FECHADURA  - FECHADURA COMPRADA POR NOS </t>
  </si>
  <si>
    <t xml:space="preserve">Banheiro feminino 2° andar </t>
  </si>
  <si>
    <t xml:space="preserve">Fachada </t>
  </si>
  <si>
    <t>Portao dos fundos</t>
  </si>
  <si>
    <t xml:space="preserve">Sala Saulo - Tomada </t>
  </si>
  <si>
    <t>Copa refeitorio - Geladeira</t>
  </si>
  <si>
    <t xml:space="preserve">Portao Frente </t>
  </si>
  <si>
    <t>Portao Fundos</t>
  </si>
  <si>
    <t xml:space="preserve">Vestiario Masculino </t>
  </si>
  <si>
    <t xml:space="preserve">Porta Enghenharia </t>
  </si>
  <si>
    <t>Mesa de Ping- Pong</t>
  </si>
  <si>
    <t xml:space="preserve">Ar condicionado CPD </t>
  </si>
  <si>
    <t xml:space="preserve"> troca de dsjuntor, feita epla equipe de manutençao predial </t>
  </si>
  <si>
    <t xml:space="preserve">Quadro força oficina </t>
  </si>
  <si>
    <t xml:space="preserve">Banheiro Masculino 1 andar </t>
  </si>
  <si>
    <t xml:space="preserve">Quadro de força Portao lateral </t>
  </si>
  <si>
    <t xml:space="preserve">Ar sala Enzo </t>
  </si>
  <si>
    <t>Ar CPD</t>
  </si>
  <si>
    <t>CORRETIVA AR DO CPD -</t>
  </si>
  <si>
    <t>Ar Sala do Enzo</t>
  </si>
  <si>
    <t>Banheiro Recepçao</t>
  </si>
  <si>
    <t xml:space="preserve">Arvores Fundos </t>
  </si>
  <si>
    <t>Almoxarifado x vestiario masculino</t>
  </si>
  <si>
    <t>VAZAMENTO ALMOXARIFADO E REPARO DO TETO  ( É DE 1760,00)</t>
  </si>
  <si>
    <t>Telhado Sala Pizza</t>
  </si>
  <si>
    <t>Microondas refeitorio</t>
  </si>
  <si>
    <t xml:space="preserve">Portao dos Fundos </t>
  </si>
  <si>
    <t>Plantas Recepçao</t>
  </si>
  <si>
    <t xml:space="preserve">Portao Fundos </t>
  </si>
  <si>
    <t xml:space="preserve">Predio todo </t>
  </si>
  <si>
    <t xml:space="preserve">Area externa </t>
  </si>
  <si>
    <t xml:space="preserve">Mictorio entupido -banheiro masculino oficina </t>
  </si>
  <si>
    <t xml:space="preserve">Porta vidro mezanino </t>
  </si>
  <si>
    <t xml:space="preserve">Vestiario masculino- Torneira </t>
  </si>
  <si>
    <t xml:space="preserve">Banheiro recepçao </t>
  </si>
  <si>
    <t>Hidraulica</t>
  </si>
  <si>
    <t xml:space="preserve">Lampadas  Setor PER e MKT - </t>
  </si>
  <si>
    <t>WESLEY</t>
  </si>
  <si>
    <t xml:space="preserve">chao de entrada portaolateral quebrado, feito o reparo pelo Adenilson , equipe manutençao predial </t>
  </si>
  <si>
    <t xml:space="preserve">roda solta, foi feita a solda e a recolocaçao do portao nos trilhos novamente. Ainda dentro da garantia. </t>
  </si>
  <si>
    <t>MELANIE</t>
  </si>
  <si>
    <t xml:space="preserve">ar não estava ligando, equipe EBMB veio e reiniciou o sistema - aparentemente foi so um bug </t>
  </si>
  <si>
    <t xml:space="preserve">Ar sala do Dener </t>
  </si>
  <si>
    <t>Maçaneta porta - sl Enzo</t>
  </si>
  <si>
    <t xml:space="preserve">maçaneta da port caindo, feito o ajuste pelo Adenilson -Manutençao predial </t>
  </si>
  <si>
    <t xml:space="preserve">3 Plantas </t>
  </si>
  <si>
    <t xml:space="preserve">feita apoda e adubagem - unificado junto ao serviços de jardinagem sede nova </t>
  </si>
  <si>
    <t>Vestiario masculino</t>
  </si>
  <si>
    <t>problemas com sensor - feita a recolocaçao de sensores novas e alinhamento.</t>
  </si>
  <si>
    <t xml:space="preserve">problemas com a fechadura- feito o ajuste e reparo pelo Adenilson - Manutençao predial </t>
  </si>
  <si>
    <t>Portao frente - batendo</t>
  </si>
  <si>
    <t xml:space="preserve">Portao pedestre travando </t>
  </si>
  <si>
    <t>DAVIS MENDES</t>
  </si>
  <si>
    <t xml:space="preserve">elevador de caros </t>
  </si>
  <si>
    <t>Mesa da recepçao</t>
  </si>
  <si>
    <t>não apresentou mais problemas desde que o Davis mexeu</t>
  </si>
  <si>
    <t>fios soltos em baixo da mesa</t>
  </si>
  <si>
    <t>Banheiro escritorio</t>
  </si>
  <si>
    <t xml:space="preserve">torneira quebrada- vazando feita a troca pela priscila manutençao predial </t>
  </si>
  <si>
    <t>Banheiro oficina</t>
  </si>
  <si>
    <t xml:space="preserve">3 portas com fechaduras quebradas- feito o fechamento do buraco e a colocaçao de trincos em todas elas </t>
  </si>
  <si>
    <t>Piso rampa de entrada oficina</t>
  </si>
  <si>
    <t xml:space="preserve">Portao fundos -roldana </t>
  </si>
  <si>
    <t xml:space="preserve">roldana solta, feita a soldagem e recolocaçao nos trhos pelo Marcelo </t>
  </si>
  <si>
    <t xml:space="preserve">Banheiro masculino escritorio </t>
  </si>
  <si>
    <t xml:space="preserve">feita a vedaçao pela nossoa equipe de manutençao predial </t>
  </si>
  <si>
    <t xml:space="preserve">Ar sala do Carlos </t>
  </si>
  <si>
    <t xml:space="preserve">troca de peça resolvido ela equipe EBM Manuteçao predial </t>
  </si>
  <si>
    <t xml:space="preserve">barulho na tubulaçao </t>
  </si>
  <si>
    <t xml:space="preserve">Oficina- elevador </t>
  </si>
  <si>
    <t xml:space="preserve">feita a manutençao pela equipe de mecanico da cup </t>
  </si>
  <si>
    <t>feito o reparo pela equipe de manutençao da cup</t>
  </si>
  <si>
    <t>Calha lateral</t>
  </si>
  <si>
    <t xml:space="preserve">ROBERTO REIS </t>
  </si>
  <si>
    <t>Troca de oleo</t>
  </si>
  <si>
    <t>Filtro de ar, toca de oleo 4 litros - descriçao na ordem de serviço</t>
  </si>
  <si>
    <t xml:space="preserve">ralo da lavagem entupido </t>
  </si>
  <si>
    <t xml:space="preserve">ralo entupidolavagem de carros </t>
  </si>
  <si>
    <t>Exame de abelhas em container</t>
  </si>
  <si>
    <t>localizado um enxame de abelas entre 2 containes na area externa do predio</t>
  </si>
  <si>
    <t xml:space="preserve">barulho excessivo no aparelhod e ar condicionado sala do carlos </t>
  </si>
  <si>
    <t xml:space="preserve">Barulho em ar condiconado sl Carlos </t>
  </si>
  <si>
    <t>Torneira da cafeiteira eletrica</t>
  </si>
  <si>
    <t xml:space="preserve">torca de torneira da cafeteira eletrica do refeitorio </t>
  </si>
  <si>
    <t xml:space="preserve">Tomada copa 1° andar </t>
  </si>
  <si>
    <t xml:space="preserve">tomada sem funcionar, troca feita pela equipe de manutençao predial </t>
  </si>
  <si>
    <t xml:space="preserve">banco com pes enferrujados, agendado uma manutençao com equipe de serralheria - cortar os pes </t>
  </si>
  <si>
    <t>2 mesas setor PER</t>
  </si>
  <si>
    <t xml:space="preserve">Compra e instalaçao de 2 mesas no setor de planejamento + adesivagem </t>
  </si>
  <si>
    <t xml:space="preserve">compra de 1 mesa e uma cadeira para setor de planejamento </t>
  </si>
  <si>
    <t xml:space="preserve">1 mesa e 1 cxadeira setor PER </t>
  </si>
  <si>
    <t>Conserto de cadeira setor PER</t>
  </si>
  <si>
    <t xml:space="preserve">Cadeira do David com parafusos soltos </t>
  </si>
  <si>
    <t xml:space="preserve">Mangueiras e conexão do sistema devem ser trocadas, está ressecadas. Passei cola para continuar operando mas o certo e trocar a conexão </t>
  </si>
  <si>
    <t>Elevador sobe até o final de curso mas após aperta para desce ele desce de uma vez dando tranco forte</t>
  </si>
  <si>
    <t>Elevador de carros/plataforma</t>
  </si>
  <si>
    <t>Elevador de carros / Revisao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</si>
</sst>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14" fontId="0" fillId="0" borderId="0" xfId="0" applyNumberFormat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22" fontId="0" fillId="0" borderId="0" xfId="0" applyNumberFormat="1" applyAlignment="1">
      <alignment horizontal="center"/>
    </xf>
    <xf numFmtId="22" fontId="1" fillId="0" borderId="0" xfId="0" applyNumberFormat="1" applyFont="1" applyAlignment="1">
      <alignment horizontal="center"/>
    </xf>
    <xf numFmtId="44" fontId="1" fillId="0" borderId="0" xfId="1" applyFont="1"/>
    <xf numFmtId="44" fontId="0" fillId="0" borderId="0" xfId="1" applyFont="1"/>
    <xf numFmtId="1" fontId="0" fillId="0" borderId="0" xfId="0" applyNumberFormat="1" applyAlignment="1">
      <alignment horizontal="center"/>
    </xf>
    <xf numFmtId="44" fontId="3" fillId="0" borderId="0" xfId="1" applyFont="1"/>
    <xf numFmtId="0" fontId="0" fillId="0" borderId="0" xfId="0" applyNumberFormat="1" applyAlignment="1">
      <alignment horizontal="center"/>
    </xf>
  </cellXfs>
  <cellStyles count="2">
    <cellStyle name="Moeda" xfId="1" builtinId="4"/>
    <cellStyle name="Normal" xfId="0" builtinId="0"/>
  </cellStyles>
  <dxfs count="22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27" formatCode="dd/mm/yyyy\ hh:mm"/>
      <alignment horizontal="center" vertical="bottom" textRotation="0" wrapText="0" indent="0" justifyLastLine="0" shrinkToFit="0" readingOrder="0"/>
    </dxf>
    <dxf>
      <numFmt numFmtId="27" formatCode="dd/mm/yyyy\ hh: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3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2.xml"/><Relationship Id="rId4" Type="http://schemas.openxmlformats.org/officeDocument/2006/relationships/styles" Target="styles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uliana Santos" id="{7054141D-8ED1-443E-9A48-CF56F113EE03}" userId="S::juliana.santos@porschegt3cup.com.br::17840d32-1a4c-4548-bf6f-4ebe1ef75d80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A2B6B2-492A-486E-9AAB-161FB5E082A7}" name="FACILITIES" displayName="FACILITIES" ref="A2:T116" totalsRowShown="0" headerRowDxfId="21">
  <autoFilter ref="A2:T116" xr:uid="{4FA2B6B2-492A-486E-9AAB-161FB5E082A7}"/>
  <tableColumns count="20">
    <tableColumn id="1" xr3:uid="{91D07E58-90B6-49DB-AAD6-88858FC8F448}" name="#" dataDxfId="20">
      <calculatedColumnFormula>ROW(A1)</calculatedColumnFormula>
    </tableColumn>
    <tableColumn id="18" xr3:uid="{60E5BE1E-EC6A-459C-B3EC-2F6B004CA246}" name="QTDE." dataDxfId="19"/>
    <tableColumn id="2" xr3:uid="{22C5F117-C61E-4882-9843-23C2AEEC11FE}" name="SOLICITANTE"/>
    <tableColumn id="3" xr3:uid="{FFD388AB-7235-494C-AB3D-9B4136482140}" name="SETOR"/>
    <tableColumn id="4" xr3:uid="{631E32A8-C003-40B5-9E29-AD2BD2A2C9CA}" name="DATA ABERTURA" dataDxfId="18"/>
    <tableColumn id="5" xr3:uid="{A2ED6D84-AEAE-4767-B4D0-B6BF12876D2F}" name="MÊS" dataDxfId="17"/>
    <tableColumn id="19" xr3:uid="{DBD5D1CD-7FB6-40C6-BE8A-A59C45DC7312}" name="MÊS_REF." dataDxfId="16">
      <calculatedColumnFormula array="1">IFERROR(_xlfn.IFS(FACILITIES[[#This Row],[MÊS]]="JANEIRO",1,FACILITIES[[#This Row],[MÊS]]="FEVEREIRO",2,FACILITIES[[#This Row],[MÊS]]="MARÇO",3,FACILITIES[[#This Row],[MÊS]]="ABRIL",4,FACILITIES[[#This Row],[MÊS]]="MAIO",5,FACILITIES[[#This Row],[MÊS]]="JUNHO",6,FACILITIES[[#This Row],[MÊS]]="JULHO",7,FACILITIES[[#This Row],[MÊS]]="AGOSTO",8,FACILITIES[[#This Row],[MÊS]]="SETEMBRO",9,FACILITIES[[#This Row],[MÊS]]="OUTUBRO",10,FACILITIES[[#This Row],[MÊS]]="NOVEMBRO",11,FACILITIES[[#This Row],[MÊS]]="DEZEMBRO",12),"")</calculatedColumnFormula>
    </tableColumn>
    <tableColumn id="6" xr3:uid="{07F0262F-CF88-406E-BFA1-254F775D3009}" name="ANO" dataDxfId="15"/>
    <tableColumn id="7" xr3:uid="{7DBF8DA6-0571-4D58-BF9F-D335404E718B}" name="ÁREA/SERVIÇO"/>
    <tableColumn id="8" xr3:uid="{A35B7B15-FE9F-4729-88AA-13DA8D6DB292}" name="UNIDADE/LOCAL"/>
    <tableColumn id="9" xr3:uid="{4C831FF7-F272-4E44-B9EA-F5D298E5D0E0}" name="TIPO ATENDIMENTO"/>
    <tableColumn id="10" xr3:uid="{144FA2A5-DFC7-40B4-A24E-79022701F79D}" name="DATA INICIO" dataDxfId="14"/>
    <tableColumn id="11" xr3:uid="{6E9454F2-93C6-40A8-ADF5-75ABF196824C}" name="DATA FINALIZAÇÃO" dataDxfId="13"/>
    <tableColumn id="12" xr3:uid="{5465B417-02A5-411A-9AFC-21D51D8802D9}" name="STATUS" dataDxfId="12">
      <calculatedColumnFormula>IF(FACILITIES[[#This Row],[DATA FINALIZAÇÃO]]&lt;&gt;0,"Finalizado",IF(FACILITIES[[#This Row],[DATA INICIO]]&lt;&gt;0,"Em andamento","Pendente"))</calculatedColumnFormula>
    </tableColumn>
    <tableColumn id="13" xr3:uid="{7FB198D1-3DE9-432B-8DF7-93C6E156FAFB}" name="TEMPO ATENDIMENTO" dataDxfId="11">
      <calculatedColumnFormula>IF(FACILITIES[[#This Row],[DATA FINALIZAÇÃO]]-FACILITIES[[#This Row],[DATA INICIO]]&lt;0,0,INT(FACILITIES[[#This Row],[DATA FINALIZAÇÃO]]-FACILITIES[[#This Row],[DATA INICIO]]))</calculatedColumnFormula>
    </tableColumn>
    <tableColumn id="14" xr3:uid="{5313840C-D212-4E8C-AD48-F011CDBA16A8}" name="DENTRO DO PRAZO" dataDxfId="10"/>
    <tableColumn id="15" xr3:uid="{CDCF9407-E6CC-43A3-A89C-05650E59AF59}" name="RETRABALHO" dataDxfId="9"/>
    <tableColumn id="16" xr3:uid="{2D5C3A3F-F1A3-4292-BFDC-35B2C2947797}" name="CUSTO" dataCellStyle="Moeda"/>
    <tableColumn id="17" xr3:uid="{F492F144-2FFE-462D-9571-90ECF0C2CDDA}" name="OBSERVAÇÃO"/>
    <tableColumn id="22" xr3:uid="{E5C6E6F7-59D0-411E-87B9-635A4BB938D4}" name="Colu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S41" dT="2026-01-26T14:01:10.76" personId="{7054141D-8ED1-443E-9A48-CF56F113EE03}" id="{7D9D18CD-0B20-43CF-9A72-3D57C882D6B5}">
    <text xml:space="preserve">Esse serviço será incluso junto a limpeza de caixas d´agua e calhas </text>
  </threadedComment>
  <threadedComment ref="T41" dT="2026-01-26T14:01:10.76" personId="{7054141D-8ED1-443E-9A48-CF56F113EE03}" id="{27EEDE2D-FF6B-4F81-94B5-CF3FE08653DC}">
    <text xml:space="preserve">Esse serviço será incluso junto a limpeza de caixas d´agua e calhas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A3220-736F-4BFB-8204-07389EB9B690}">
  <dimension ref="A2:U116"/>
  <sheetViews>
    <sheetView tabSelected="1" workbookViewId="0">
      <selection activeCell="S54" sqref="S54"/>
    </sheetView>
  </sheetViews>
  <sheetFormatPr defaultRowHeight="14.5" x14ac:dyDescent="0.35"/>
  <cols>
    <col min="1" max="2" width="9.6328125" style="1" customWidth="1"/>
    <col min="3" max="3" width="21" customWidth="1"/>
    <col min="4" max="4" width="8.6328125" bestFit="1" customWidth="1"/>
    <col min="5" max="5" width="17.81640625" style="3" customWidth="1"/>
    <col min="6" max="7" width="14.36328125" style="1" customWidth="1"/>
    <col min="8" max="8" width="13.6328125" style="1" customWidth="1"/>
    <col min="9" max="9" width="57.453125" customWidth="1"/>
    <col min="10" max="10" width="16.81640625" customWidth="1"/>
    <col min="11" max="11" width="17.36328125" bestFit="1" customWidth="1"/>
    <col min="12" max="13" width="20.453125" style="6" customWidth="1"/>
    <col min="14" max="14" width="16.6328125" style="1" customWidth="1"/>
    <col min="15" max="15" width="21.6328125" bestFit="1" customWidth="1"/>
    <col min="16" max="16" width="20.6328125" style="1" customWidth="1"/>
    <col min="17" max="17" width="17.453125" style="1" customWidth="1"/>
    <col min="18" max="18" width="17.08984375" style="9" customWidth="1"/>
    <col min="19" max="19" width="46.453125" customWidth="1"/>
    <col min="20" max="20" width="135.81640625" customWidth="1"/>
  </cols>
  <sheetData>
    <row r="2" spans="1:21" s="2" customFormat="1" ht="14" customHeight="1" x14ac:dyDescent="0.35">
      <c r="A2" s="5" t="s">
        <v>74</v>
      </c>
      <c r="B2" s="5" t="s">
        <v>0</v>
      </c>
      <c r="C2" s="2" t="s">
        <v>1</v>
      </c>
      <c r="D2" s="2" t="s">
        <v>2</v>
      </c>
      <c r="E2" s="4" t="s">
        <v>27</v>
      </c>
      <c r="F2" s="5" t="s">
        <v>28</v>
      </c>
      <c r="G2" s="5" t="s">
        <v>76</v>
      </c>
      <c r="H2" s="5" t="s">
        <v>29</v>
      </c>
      <c r="I2" s="2" t="s">
        <v>34</v>
      </c>
      <c r="J2" s="2" t="s">
        <v>30</v>
      </c>
      <c r="K2" s="2" t="s">
        <v>31</v>
      </c>
      <c r="L2" s="7" t="s">
        <v>32</v>
      </c>
      <c r="M2" s="7" t="s">
        <v>33</v>
      </c>
      <c r="N2" s="5" t="s">
        <v>38</v>
      </c>
      <c r="O2" s="2" t="s">
        <v>72</v>
      </c>
      <c r="P2" s="5" t="s">
        <v>73</v>
      </c>
      <c r="Q2" s="5" t="s">
        <v>35</v>
      </c>
      <c r="R2" s="8" t="s">
        <v>36</v>
      </c>
      <c r="S2" s="2" t="s">
        <v>37</v>
      </c>
      <c r="T2" s="2" t="s">
        <v>156</v>
      </c>
    </row>
    <row r="3" spans="1:21" s="2" customFormat="1" x14ac:dyDescent="0.35">
      <c r="A3" s="1">
        <f>ROW(A1)</f>
        <v>1</v>
      </c>
      <c r="B3" s="1">
        <v>1</v>
      </c>
      <c r="C3" t="s">
        <v>134</v>
      </c>
      <c r="D3" t="s">
        <v>4</v>
      </c>
      <c r="E3" s="3">
        <v>45734</v>
      </c>
      <c r="F3" s="1" t="s">
        <v>81</v>
      </c>
      <c r="G3" s="1" cm="1">
        <f t="array" ref="G3">IFERROR(_xlfn.IFS(FACILITIES[[#This Row],[MÊS]]="JANEIRO",1,FACILITIES[[#This Row],[MÊS]]="FEVEREIRO",2,FACILITIES[[#This Row],[MÊS]]="MARÇO",3,FACILITIES[[#This Row],[MÊS]]="ABRIL",4,FACILITIES[[#This Row],[MÊS]]="MAIO",5,FACILITIES[[#This Row],[MÊS]]="JUNHO",6,FACILITIES[[#This Row],[MÊS]]="JULHO",7,FACILITIES[[#This Row],[MÊS]]="AGOSTO",8,FACILITIES[[#This Row],[MÊS]]="SETEMBRO",9,FACILITIES[[#This Row],[MÊS]]="OUTUBRO",10,FACILITIES[[#This Row],[MÊS]]="NOVEMBRO",11,FACILITIES[[#This Row],[MÊS]]="DEZEMBRO",12),"")</f>
        <v>3</v>
      </c>
      <c r="H3" s="1">
        <v>2025</v>
      </c>
      <c r="I3" t="s">
        <v>40</v>
      </c>
      <c r="J3" t="s">
        <v>64</v>
      </c>
      <c r="K3" t="s">
        <v>67</v>
      </c>
      <c r="L3" s="6">
        <v>45734</v>
      </c>
      <c r="M3" s="6">
        <v>45736</v>
      </c>
      <c r="N3" s="1" t="str">
        <f>IF(FACILITIES[[#This Row],[DATA FINALIZAÇÃO]]&lt;&gt;0,"Finalizado",IF(FACILITIES[[#This Row],[DATA INICIO]]&lt;&gt;0,"Em andamento","Pendente"))</f>
        <v>Finalizado</v>
      </c>
      <c r="O3" s="10">
        <f>IF(FACILITIES[[#This Row],[DATA FINALIZAÇÃO]]-FACILITIES[[#This Row],[DATA INICIO]]&lt;0,0,INT(FACILITIES[[#This Row],[DATA FINALIZAÇÃO]]-FACILITIES[[#This Row],[DATA INICIO]]))</f>
        <v>2</v>
      </c>
      <c r="P3" s="1" t="s">
        <v>70</v>
      </c>
      <c r="Q3" s="1" t="s">
        <v>71</v>
      </c>
      <c r="R3" s="11">
        <v>1500</v>
      </c>
      <c r="S3" t="s">
        <v>205</v>
      </c>
      <c r="T3" t="s">
        <v>137</v>
      </c>
      <c r="U3"/>
    </row>
    <row r="4" spans="1:21" s="2" customFormat="1" x14ac:dyDescent="0.35">
      <c r="A4" s="1">
        <f t="shared" ref="A4:A67" si="0">ROW(A2)</f>
        <v>2</v>
      </c>
      <c r="B4" s="1">
        <f>ROW(A1)</f>
        <v>1</v>
      </c>
      <c r="C4" t="s">
        <v>134</v>
      </c>
      <c r="D4" t="s">
        <v>4</v>
      </c>
      <c r="E4" s="3">
        <v>45734</v>
      </c>
      <c r="F4" s="1" t="s">
        <v>81</v>
      </c>
      <c r="G4" s="1" cm="1">
        <f t="array" ref="G4">IFERROR(_xlfn.IFS(FACILITIES[[#This Row],[MÊS]]="JANEIRO",1,FACILITIES[[#This Row],[MÊS]]="FEVEREIRO",2,FACILITIES[[#This Row],[MÊS]]="MARÇO",3,FACILITIES[[#This Row],[MÊS]]="ABRIL",4,FACILITIES[[#This Row],[MÊS]]="MAIO",5,FACILITIES[[#This Row],[MÊS]]="JUNHO",6,FACILITIES[[#This Row],[MÊS]]="JULHO",7,FACILITIES[[#This Row],[MÊS]]="AGOSTO",8,FACILITIES[[#This Row],[MÊS]]="SETEMBRO",9,FACILITIES[[#This Row],[MÊS]]="OUTUBRO",10,FACILITIES[[#This Row],[MÊS]]="NOVEMBRO",11,FACILITIES[[#This Row],[MÊS]]="DEZEMBRO",12),"")</f>
        <v>3</v>
      </c>
      <c r="H4" s="1">
        <v>2025</v>
      </c>
      <c r="I4" t="s">
        <v>40</v>
      </c>
      <c r="J4" t="s">
        <v>64</v>
      </c>
      <c r="K4" t="s">
        <v>67</v>
      </c>
      <c r="L4" s="6">
        <v>45742</v>
      </c>
      <c r="M4" s="6">
        <v>45744</v>
      </c>
      <c r="N4" s="1" t="str">
        <f>IF(FACILITIES[[#This Row],[DATA FINALIZAÇÃO]]&lt;&gt;0,"Finalizado",IF(FACILITIES[[#This Row],[DATA INICIO]]&lt;&gt;0,"Em andamento","Pendente"))</f>
        <v>Finalizado</v>
      </c>
      <c r="O4" s="10">
        <f>IF(FACILITIES[[#This Row],[DATA FINALIZAÇÃO]]-FACILITIES[[#This Row],[DATA INICIO]]&lt;0,0,INT(FACILITIES[[#This Row],[DATA FINALIZAÇÃO]]-FACILITIES[[#This Row],[DATA INICIO]]))</f>
        <v>2</v>
      </c>
      <c r="P4" s="1" t="s">
        <v>70</v>
      </c>
      <c r="Q4" s="1" t="s">
        <v>71</v>
      </c>
      <c r="R4" s="11">
        <v>1650</v>
      </c>
      <c r="S4" t="s">
        <v>206</v>
      </c>
      <c r="T4" t="s">
        <v>136</v>
      </c>
      <c r="U4"/>
    </row>
    <row r="5" spans="1:21" x14ac:dyDescent="0.35">
      <c r="A5" s="1">
        <f t="shared" si="0"/>
        <v>3</v>
      </c>
      <c r="B5" s="1">
        <v>1</v>
      </c>
      <c r="C5" t="s">
        <v>88</v>
      </c>
      <c r="D5" t="s">
        <v>12</v>
      </c>
      <c r="E5" s="3">
        <v>45730</v>
      </c>
      <c r="F5" s="1" t="s">
        <v>81</v>
      </c>
      <c r="G5" s="1" cm="1">
        <f t="array" ref="G5">IFERROR(_xlfn.IFS(FACILITIES[[#This Row],[MÊS]]="JANEIRO",1,FACILITIES[[#This Row],[MÊS]]="FEVEREIRO",2,FACILITIES[[#This Row],[MÊS]]="MARÇO",3,FACILITIES[[#This Row],[MÊS]]="ABRIL",4,FACILITIES[[#This Row],[MÊS]]="MAIO",5,FACILITIES[[#This Row],[MÊS]]="JUNHO",6,FACILITIES[[#This Row],[MÊS]]="JULHO",7,FACILITIES[[#This Row],[MÊS]]="AGOSTO",8,FACILITIES[[#This Row],[MÊS]]="SETEMBRO",9,FACILITIES[[#This Row],[MÊS]]="OUTUBRO",10,FACILITIES[[#This Row],[MÊS]]="NOVEMBRO",11,FACILITIES[[#This Row],[MÊS]]="DEZEMBRO",12),"")</f>
        <v>3</v>
      </c>
      <c r="H5" s="1">
        <v>2025</v>
      </c>
      <c r="I5" t="s">
        <v>91</v>
      </c>
      <c r="J5" t="s">
        <v>64</v>
      </c>
      <c r="K5" t="s">
        <v>67</v>
      </c>
      <c r="L5" s="6">
        <v>45730</v>
      </c>
      <c r="M5" s="6">
        <v>45734</v>
      </c>
      <c r="N5" s="1" t="str">
        <f>IF(FACILITIES[[#This Row],[DATA FINALIZAÇÃO]]&lt;&gt;0,"Finalizado",IF(FACILITIES[[#This Row],[DATA INICIO]]&lt;&gt;0,"Em andamento","Pendente"))</f>
        <v>Finalizado</v>
      </c>
      <c r="O5" s="10">
        <f>IF(FACILITIES[[#This Row],[DATA FINALIZAÇÃO]]-FACILITIES[[#This Row],[DATA INICIO]]&lt;0,0,INT(FACILITIES[[#This Row],[DATA FINALIZAÇÃO]]-FACILITIES[[#This Row],[DATA INICIO]]))</f>
        <v>4</v>
      </c>
      <c r="P5" s="6" t="s">
        <v>70</v>
      </c>
      <c r="Q5" s="1" t="s">
        <v>70</v>
      </c>
      <c r="R5" s="11">
        <v>9680</v>
      </c>
      <c r="S5" t="s">
        <v>204</v>
      </c>
    </row>
    <row r="6" spans="1:21" x14ac:dyDescent="0.35">
      <c r="A6" s="1">
        <f t="shared" si="0"/>
        <v>4</v>
      </c>
      <c r="B6" s="1">
        <v>1</v>
      </c>
      <c r="C6" t="s">
        <v>89</v>
      </c>
      <c r="D6" t="s">
        <v>26</v>
      </c>
      <c r="E6" s="3">
        <v>45772</v>
      </c>
      <c r="F6" s="1" t="s">
        <v>82</v>
      </c>
      <c r="G6" s="1" cm="1">
        <f t="array" ref="G6">IFERROR(_xlfn.IFS(FACILITIES[[#This Row],[MÊS]]="JANEIRO",1,FACILITIES[[#This Row],[MÊS]]="FEVEREIRO",2,FACILITIES[[#This Row],[MÊS]]="MARÇO",3,FACILITIES[[#This Row],[MÊS]]="ABRIL",4,FACILITIES[[#This Row],[MÊS]]="MAIO",5,FACILITIES[[#This Row],[MÊS]]="JUNHO",6,FACILITIES[[#This Row],[MÊS]]="JULHO",7,FACILITIES[[#This Row],[MÊS]]="AGOSTO",8,FACILITIES[[#This Row],[MÊS]]="SETEMBRO",9,FACILITIES[[#This Row],[MÊS]]="OUTUBRO",10,FACILITIES[[#This Row],[MÊS]]="NOVEMBRO",11,FACILITIES[[#This Row],[MÊS]]="DEZEMBRO",12),"")</f>
        <v>4</v>
      </c>
      <c r="H6" s="1">
        <v>2025</v>
      </c>
      <c r="I6" t="s">
        <v>91</v>
      </c>
      <c r="J6" t="s">
        <v>64</v>
      </c>
      <c r="K6" t="s">
        <v>67</v>
      </c>
      <c r="L6" s="6">
        <v>45772</v>
      </c>
      <c r="M6" s="6">
        <v>45773</v>
      </c>
      <c r="N6" s="1" t="str">
        <f>IF(FACILITIES[[#This Row],[DATA FINALIZAÇÃO]]&lt;&gt;0,"Finalizado",IF(FACILITIES[[#This Row],[DATA INICIO]]&lt;&gt;0,"Em andamento","Pendente"))</f>
        <v>Finalizado</v>
      </c>
      <c r="O6" s="10">
        <f>IF(FACILITIES[[#This Row],[DATA FINALIZAÇÃO]]-FACILITIES[[#This Row],[DATA INICIO]]&lt;0,0,INT(FACILITIES[[#This Row],[DATA FINALIZAÇÃO]]-FACILITIES[[#This Row],[DATA INICIO]]))</f>
        <v>1</v>
      </c>
      <c r="P6" s="1" t="s">
        <v>70</v>
      </c>
      <c r="Q6" s="1" t="s">
        <v>70</v>
      </c>
      <c r="R6" s="9">
        <v>1E-3</v>
      </c>
      <c r="S6" t="s">
        <v>204</v>
      </c>
      <c r="T6" t="s">
        <v>92</v>
      </c>
    </row>
    <row r="7" spans="1:21" x14ac:dyDescent="0.35">
      <c r="A7" s="1">
        <f t="shared" si="0"/>
        <v>5</v>
      </c>
      <c r="B7" s="1">
        <v>1</v>
      </c>
      <c r="C7" t="s">
        <v>90</v>
      </c>
      <c r="D7" t="s">
        <v>18</v>
      </c>
      <c r="E7" s="3">
        <v>45918</v>
      </c>
      <c r="F7" s="1" t="s">
        <v>75</v>
      </c>
      <c r="G7" s="1" cm="1">
        <f t="array" ref="G7">IFERROR(_xlfn.IFS(FACILITIES[[#This Row],[MÊS]]="JANEIRO",1,FACILITIES[[#This Row],[MÊS]]="FEVEREIRO",2,FACILITIES[[#This Row],[MÊS]]="MARÇO",3,FACILITIES[[#This Row],[MÊS]]="ABRIL",4,FACILITIES[[#This Row],[MÊS]]="MAIO",5,FACILITIES[[#This Row],[MÊS]]="JUNHO",6,FACILITIES[[#This Row],[MÊS]]="JULHO",7,FACILITIES[[#This Row],[MÊS]]="AGOSTO",8,FACILITIES[[#This Row],[MÊS]]="SETEMBRO",9,FACILITIES[[#This Row],[MÊS]]="OUTUBRO",10,FACILITIES[[#This Row],[MÊS]]="NOVEMBRO",11,FACILITIES[[#This Row],[MÊS]]="DEZEMBRO",12),"")</f>
        <v>9</v>
      </c>
      <c r="H7" s="1">
        <v>2025</v>
      </c>
      <c r="I7" t="s">
        <v>91</v>
      </c>
      <c r="J7" t="s">
        <v>64</v>
      </c>
      <c r="K7" t="s">
        <v>67</v>
      </c>
      <c r="L7" s="6">
        <v>45922</v>
      </c>
      <c r="M7" s="6">
        <v>45922</v>
      </c>
      <c r="N7" s="1" t="str">
        <f>IF(FACILITIES[[#This Row],[DATA FINALIZAÇÃO]]&lt;&gt;0,"Finalizado",IF(FACILITIES[[#This Row],[DATA INICIO]]&lt;&gt;0,"Em andamento","Pendente"))</f>
        <v>Finalizado</v>
      </c>
      <c r="O7" s="10">
        <f>IF(FACILITIES[[#This Row],[DATA FINALIZAÇÃO]]-FACILITIES[[#This Row],[DATA INICIO]]&lt;0,0,INT(FACILITIES[[#This Row],[DATA FINALIZAÇÃO]]-FACILITIES[[#This Row],[DATA INICIO]]))</f>
        <v>0</v>
      </c>
      <c r="P7" s="1" t="s">
        <v>70</v>
      </c>
      <c r="Q7" s="1" t="s">
        <v>70</v>
      </c>
      <c r="R7" s="9">
        <v>1E-3</v>
      </c>
      <c r="S7" t="s">
        <v>204</v>
      </c>
      <c r="T7" t="s">
        <v>129</v>
      </c>
    </row>
    <row r="8" spans="1:21" x14ac:dyDescent="0.35">
      <c r="A8" s="1">
        <f t="shared" si="0"/>
        <v>6</v>
      </c>
      <c r="B8" s="1">
        <v>1</v>
      </c>
      <c r="C8" t="s">
        <v>89</v>
      </c>
      <c r="D8" t="s">
        <v>26</v>
      </c>
      <c r="E8" s="3">
        <v>45688</v>
      </c>
      <c r="F8" s="1" t="s">
        <v>79</v>
      </c>
      <c r="G8" s="1" cm="1">
        <f t="array" ref="G8">IFERROR(_xlfn.IFS(FACILITIES[[#This Row],[MÊS]]="JANEIRO",1,FACILITIES[[#This Row],[MÊS]]="FEVEREIRO",2,FACILITIES[[#This Row],[MÊS]]="MARÇO",3,FACILITIES[[#This Row],[MÊS]]="ABRIL",4,FACILITIES[[#This Row],[MÊS]]="MAIO",5,FACILITIES[[#This Row],[MÊS]]="JUNHO",6,FACILITIES[[#This Row],[MÊS]]="JULHO",7,FACILITIES[[#This Row],[MÊS]]="AGOSTO",8,FACILITIES[[#This Row],[MÊS]]="SETEMBRO",9,FACILITIES[[#This Row],[MÊS]]="OUTUBRO",10,FACILITIES[[#This Row],[MÊS]]="NOVEMBRO",11,FACILITIES[[#This Row],[MÊS]]="DEZEMBRO",12),"")</f>
        <v>1</v>
      </c>
      <c r="H8" s="1">
        <v>2025</v>
      </c>
      <c r="I8" t="s">
        <v>48</v>
      </c>
      <c r="J8" t="s">
        <v>64</v>
      </c>
      <c r="K8" t="s">
        <v>67</v>
      </c>
      <c r="L8" s="6">
        <v>45688</v>
      </c>
      <c r="M8" s="6">
        <v>45688</v>
      </c>
      <c r="N8" s="1" t="str">
        <f>IF(FACILITIES[[#This Row],[DATA FINALIZAÇÃO]]&lt;&gt;0,"Finalizado",IF(FACILITIES[[#This Row],[DATA INICIO]]&lt;&gt;0,"Em andamento","Pendente"))</f>
        <v>Finalizado</v>
      </c>
      <c r="O8" s="10">
        <f>IF(FACILITIES[[#This Row],[DATA FINALIZAÇÃO]]-FACILITIES[[#This Row],[DATA INICIO]]&lt;0,0,INT(FACILITIES[[#This Row],[DATA FINALIZAÇÃO]]-FACILITIES[[#This Row],[DATA INICIO]]))</f>
        <v>0</v>
      </c>
      <c r="P8" s="1" t="s">
        <v>70</v>
      </c>
      <c r="Q8" s="1" t="s">
        <v>102</v>
      </c>
      <c r="R8" s="9">
        <v>615</v>
      </c>
      <c r="S8" t="s">
        <v>203</v>
      </c>
      <c r="T8" t="s">
        <v>130</v>
      </c>
    </row>
    <row r="9" spans="1:21" x14ac:dyDescent="0.35">
      <c r="A9" s="1">
        <f t="shared" si="0"/>
        <v>7</v>
      </c>
      <c r="B9" s="1">
        <v>1</v>
      </c>
      <c r="C9" t="s">
        <v>89</v>
      </c>
      <c r="D9" t="s">
        <v>26</v>
      </c>
      <c r="E9" s="3">
        <v>45679</v>
      </c>
      <c r="F9" s="1" t="s">
        <v>79</v>
      </c>
      <c r="G9" s="1" cm="1">
        <f t="array" ref="G9">IFERROR(_xlfn.IFS(FACILITIES[[#This Row],[MÊS]]="JANEIRO",1,FACILITIES[[#This Row],[MÊS]]="FEVEREIRO",2,FACILITIES[[#This Row],[MÊS]]="MARÇO",3,FACILITIES[[#This Row],[MÊS]]="ABRIL",4,FACILITIES[[#This Row],[MÊS]]="MAIO",5,FACILITIES[[#This Row],[MÊS]]="JUNHO",6,FACILITIES[[#This Row],[MÊS]]="JULHO",7,FACILITIES[[#This Row],[MÊS]]="AGOSTO",8,FACILITIES[[#This Row],[MÊS]]="SETEMBRO",9,FACILITIES[[#This Row],[MÊS]]="OUTUBRO",10,FACILITIES[[#This Row],[MÊS]]="NOVEMBRO",11,FACILITIES[[#This Row],[MÊS]]="DEZEMBRO",12),"")</f>
        <v>1</v>
      </c>
      <c r="H9" s="1">
        <v>2025</v>
      </c>
      <c r="I9" t="s">
        <v>128</v>
      </c>
      <c r="J9" t="s">
        <v>64</v>
      </c>
      <c r="K9" t="s">
        <v>67</v>
      </c>
      <c r="L9" s="6">
        <v>45679</v>
      </c>
      <c r="M9" s="6">
        <v>45679</v>
      </c>
      <c r="N9" s="1" t="str">
        <f>IF(FACILITIES[[#This Row],[DATA FINALIZAÇÃO]]&lt;&gt;0,"Finalizado",IF(FACILITIES[[#This Row],[DATA INICIO]]&lt;&gt;0,"Em andamento","Pendente"))</f>
        <v>Finalizado</v>
      </c>
      <c r="O9" s="10">
        <f>IF(FACILITIES[[#This Row],[DATA FINALIZAÇÃO]]-FACILITIES[[#This Row],[DATA INICIO]]&lt;0,0,INT(FACILITIES[[#This Row],[DATA FINALIZAÇÃO]]-FACILITIES[[#This Row],[DATA INICIO]]))</f>
        <v>0</v>
      </c>
      <c r="P9" s="1" t="s">
        <v>70</v>
      </c>
      <c r="Q9" s="1" t="s">
        <v>70</v>
      </c>
      <c r="R9" s="9">
        <v>270</v>
      </c>
      <c r="S9" t="s">
        <v>175</v>
      </c>
      <c r="T9" t="s">
        <v>207</v>
      </c>
    </row>
    <row r="10" spans="1:21" x14ac:dyDescent="0.35">
      <c r="A10" s="1">
        <f t="shared" si="0"/>
        <v>8</v>
      </c>
      <c r="B10" s="1">
        <v>1</v>
      </c>
      <c r="C10" t="s">
        <v>89</v>
      </c>
      <c r="D10" t="s">
        <v>26</v>
      </c>
      <c r="E10" s="3">
        <v>45687</v>
      </c>
      <c r="F10" s="1" t="s">
        <v>79</v>
      </c>
      <c r="G10" s="1" cm="1">
        <f t="array" ref="G10">IFERROR(_xlfn.IFS(FACILITIES[[#This Row],[MÊS]]="JANEIRO",1,FACILITIES[[#This Row],[MÊS]]="FEVEREIRO",2,FACILITIES[[#This Row],[MÊS]]="MARÇO",3,FACILITIES[[#This Row],[MÊS]]="ABRIL",4,FACILITIES[[#This Row],[MÊS]]="MAIO",5,FACILITIES[[#This Row],[MÊS]]="JUNHO",6,FACILITIES[[#This Row],[MÊS]]="JULHO",7,FACILITIES[[#This Row],[MÊS]]="AGOSTO",8,FACILITIES[[#This Row],[MÊS]]="SETEMBRO",9,FACILITIES[[#This Row],[MÊS]]="OUTUBRO",10,FACILITIES[[#This Row],[MÊS]]="NOVEMBRO",11,FACILITIES[[#This Row],[MÊS]]="DEZEMBRO",12),"")</f>
        <v>1</v>
      </c>
      <c r="H10" s="1">
        <v>2025</v>
      </c>
      <c r="I10" t="s">
        <v>41</v>
      </c>
      <c r="J10" t="s">
        <v>64</v>
      </c>
      <c r="K10" t="s">
        <v>69</v>
      </c>
      <c r="L10" s="6">
        <v>45687</v>
      </c>
      <c r="M10" s="6">
        <v>45688</v>
      </c>
      <c r="N10" s="1" t="str">
        <f>IF(FACILITIES[[#This Row],[DATA FINALIZAÇÃO]]&lt;&gt;0,"Finalizado",IF(FACILITIES[[#This Row],[DATA INICIO]]&lt;&gt;0,"Em andamento","Pendente"))</f>
        <v>Finalizado</v>
      </c>
      <c r="O10" s="10">
        <f>IF(FACILITIES[[#This Row],[DATA FINALIZAÇÃO]]-FACILITIES[[#This Row],[DATA INICIO]]&lt;0,0,INT(FACILITIES[[#This Row],[DATA FINALIZAÇÃO]]-FACILITIES[[#This Row],[DATA INICIO]]))</f>
        <v>1</v>
      </c>
      <c r="P10" s="1" t="s">
        <v>70</v>
      </c>
      <c r="Q10" s="1" t="s">
        <v>71</v>
      </c>
      <c r="R10" s="9">
        <v>1E-3</v>
      </c>
      <c r="S10" t="s">
        <v>171</v>
      </c>
    </row>
    <row r="11" spans="1:21" x14ac:dyDescent="0.35">
      <c r="A11" s="1">
        <f t="shared" si="0"/>
        <v>9</v>
      </c>
      <c r="B11" s="1">
        <v>1</v>
      </c>
      <c r="C11" t="s">
        <v>89</v>
      </c>
      <c r="D11" t="s">
        <v>26</v>
      </c>
      <c r="E11" s="3">
        <v>45708</v>
      </c>
      <c r="F11" s="1" t="s">
        <v>80</v>
      </c>
      <c r="G11" s="1" cm="1">
        <f t="array" ref="G11">IFERROR(_xlfn.IFS(FACILITIES[[#This Row],[MÊS]]="JANEIRO",1,FACILITIES[[#This Row],[MÊS]]="FEVEREIRO",2,FACILITIES[[#This Row],[MÊS]]="MARÇO",3,FACILITIES[[#This Row],[MÊS]]="ABRIL",4,FACILITIES[[#This Row],[MÊS]]="MAIO",5,FACILITIES[[#This Row],[MÊS]]="JUNHO",6,FACILITIES[[#This Row],[MÊS]]="JULHO",7,FACILITIES[[#This Row],[MÊS]]="AGOSTO",8,FACILITIES[[#This Row],[MÊS]]="SETEMBRO",9,FACILITIES[[#This Row],[MÊS]]="OUTUBRO",10,FACILITIES[[#This Row],[MÊS]]="NOVEMBRO",11,FACILITIES[[#This Row],[MÊS]]="DEZEMBRO",12),"")</f>
        <v>2</v>
      </c>
      <c r="H11" s="1">
        <v>2025</v>
      </c>
      <c r="I11" t="s">
        <v>41</v>
      </c>
      <c r="J11" t="s">
        <v>64</v>
      </c>
      <c r="K11" t="s">
        <v>67</v>
      </c>
      <c r="L11" s="6">
        <v>45714</v>
      </c>
      <c r="M11" s="6">
        <v>45714</v>
      </c>
      <c r="N11" s="1" t="str">
        <f>IF(FACILITIES[[#This Row],[DATA FINALIZAÇÃO]]&lt;&gt;0,"Finalizado",IF(FACILITIES[[#This Row],[DATA INICIO]]&lt;&gt;0,"Em andamento","Pendente"))</f>
        <v>Finalizado</v>
      </c>
      <c r="O11" s="10">
        <f>IF(FACILITIES[[#This Row],[DATA FINALIZAÇÃO]]-FACILITIES[[#This Row],[DATA INICIO]]&lt;0,0,INT(FACILITIES[[#This Row],[DATA FINALIZAÇÃO]]-FACILITIES[[#This Row],[DATA INICIO]]))</f>
        <v>0</v>
      </c>
      <c r="P11" s="1" t="s">
        <v>70</v>
      </c>
      <c r="Q11" s="1" t="s">
        <v>71</v>
      </c>
      <c r="R11" s="9">
        <v>680</v>
      </c>
      <c r="T11" t="s">
        <v>131</v>
      </c>
    </row>
    <row r="12" spans="1:21" x14ac:dyDescent="0.35">
      <c r="A12" s="1">
        <f t="shared" si="0"/>
        <v>10</v>
      </c>
      <c r="B12" s="1">
        <v>1</v>
      </c>
      <c r="C12" t="s">
        <v>89</v>
      </c>
      <c r="D12" t="s">
        <v>26</v>
      </c>
      <c r="E12" s="3">
        <v>45708</v>
      </c>
      <c r="F12" s="1" t="s">
        <v>80</v>
      </c>
      <c r="G12" s="1" cm="1">
        <f t="array" ref="G12">IFERROR(_xlfn.IFS(FACILITIES[[#This Row],[MÊS]]="JANEIRO",1,FACILITIES[[#This Row],[MÊS]]="FEVEREIRO",2,FACILITIES[[#This Row],[MÊS]]="MARÇO",3,FACILITIES[[#This Row],[MÊS]]="ABRIL",4,FACILITIES[[#This Row],[MÊS]]="MAIO",5,FACILITIES[[#This Row],[MÊS]]="JUNHO",6,FACILITIES[[#This Row],[MÊS]]="JULHO",7,FACILITIES[[#This Row],[MÊS]]="AGOSTO",8,FACILITIES[[#This Row],[MÊS]]="SETEMBRO",9,FACILITIES[[#This Row],[MÊS]]="OUTUBRO",10,FACILITIES[[#This Row],[MÊS]]="NOVEMBRO",11,FACILITIES[[#This Row],[MÊS]]="DEZEMBRO",12),"")</f>
        <v>2</v>
      </c>
      <c r="H12" s="1">
        <v>2025</v>
      </c>
      <c r="I12" t="s">
        <v>91</v>
      </c>
      <c r="J12" t="s">
        <v>64</v>
      </c>
      <c r="K12" t="s">
        <v>67</v>
      </c>
      <c r="L12" s="6">
        <v>45714</v>
      </c>
      <c r="M12" s="6">
        <v>45714</v>
      </c>
      <c r="N12" s="1" t="str">
        <f>IF(FACILITIES[[#This Row],[DATA FINALIZAÇÃO]]&lt;&gt;0,"Finalizado",IF(FACILITIES[[#This Row],[DATA INICIO]]&lt;&gt;0,"Em andamento","Pendente"))</f>
        <v>Finalizado</v>
      </c>
      <c r="O12" s="10">
        <f>IF(FACILITIES[[#This Row],[DATA FINALIZAÇÃO]]-FACILITIES[[#This Row],[DATA INICIO]]&lt;0,0,INT(FACILITIES[[#This Row],[DATA FINALIZAÇÃO]]-FACILITIES[[#This Row],[DATA INICIO]]))</f>
        <v>0</v>
      </c>
      <c r="P12" s="1" t="s">
        <v>70</v>
      </c>
      <c r="Q12" s="1" t="s">
        <v>70</v>
      </c>
      <c r="R12" s="9">
        <v>1240</v>
      </c>
      <c r="S12" t="s">
        <v>202</v>
      </c>
      <c r="T12" t="s">
        <v>132</v>
      </c>
    </row>
    <row r="13" spans="1:21" x14ac:dyDescent="0.35">
      <c r="A13" s="1">
        <f t="shared" si="0"/>
        <v>11</v>
      </c>
      <c r="B13" s="1">
        <v>1</v>
      </c>
      <c r="C13" t="s">
        <v>89</v>
      </c>
      <c r="D13" t="s">
        <v>26</v>
      </c>
      <c r="E13" s="3">
        <v>45705</v>
      </c>
      <c r="F13" s="1" t="s">
        <v>80</v>
      </c>
      <c r="G13" s="1" cm="1">
        <f t="array" ref="G13">IFERROR(_xlfn.IFS(FACILITIES[[#This Row],[MÊS]]="JANEIRO",1,FACILITIES[[#This Row],[MÊS]]="FEVEREIRO",2,FACILITIES[[#This Row],[MÊS]]="MARÇO",3,FACILITIES[[#This Row],[MÊS]]="ABRIL",4,FACILITIES[[#This Row],[MÊS]]="MAIO",5,FACILITIES[[#This Row],[MÊS]]="JUNHO",6,FACILITIES[[#This Row],[MÊS]]="JULHO",7,FACILITIES[[#This Row],[MÊS]]="AGOSTO",8,FACILITIES[[#This Row],[MÊS]]="SETEMBRO",9,FACILITIES[[#This Row],[MÊS]]="OUTUBRO",10,FACILITIES[[#This Row],[MÊS]]="NOVEMBRO",11,FACILITIES[[#This Row],[MÊS]]="DEZEMBRO",12),"")</f>
        <v>2</v>
      </c>
      <c r="H13" s="1">
        <v>2025</v>
      </c>
      <c r="I13" t="s">
        <v>60</v>
      </c>
      <c r="J13" t="s">
        <v>64</v>
      </c>
      <c r="K13" t="s">
        <v>67</v>
      </c>
      <c r="L13" s="6">
        <v>45705</v>
      </c>
      <c r="M13" s="6">
        <v>45715</v>
      </c>
      <c r="N13" s="1" t="str">
        <f>IF(FACILITIES[[#This Row],[DATA FINALIZAÇÃO]]&lt;&gt;0,"Finalizado",IF(FACILITIES[[#This Row],[DATA INICIO]]&lt;&gt;0,"Em andamento","Pendente"))</f>
        <v>Finalizado</v>
      </c>
      <c r="O13" s="10">
        <f>IF(FACILITIES[[#This Row],[DATA FINALIZAÇÃO]]-FACILITIES[[#This Row],[DATA INICIO]]&lt;0,0,INT(FACILITIES[[#This Row],[DATA FINALIZAÇÃO]]-FACILITIES[[#This Row],[DATA INICIO]]))</f>
        <v>10</v>
      </c>
      <c r="P13" s="1" t="s">
        <v>70</v>
      </c>
      <c r="Q13" s="1" t="s">
        <v>70</v>
      </c>
      <c r="R13" s="9">
        <v>225</v>
      </c>
      <c r="S13" t="s">
        <v>201</v>
      </c>
      <c r="T13" t="s">
        <v>149</v>
      </c>
    </row>
    <row r="14" spans="1:21" x14ac:dyDescent="0.35">
      <c r="A14" s="1">
        <f t="shared" si="0"/>
        <v>12</v>
      </c>
      <c r="B14" s="1">
        <v>1</v>
      </c>
      <c r="C14" t="s">
        <v>89</v>
      </c>
      <c r="D14" t="s">
        <v>26</v>
      </c>
      <c r="E14" s="3">
        <v>45707</v>
      </c>
      <c r="F14" s="1" t="s">
        <v>80</v>
      </c>
      <c r="G14" s="1" cm="1">
        <f t="array" ref="G14">IFERROR(_xlfn.IFS(FACILITIES[[#This Row],[MÊS]]="JANEIRO",1,FACILITIES[[#This Row],[MÊS]]="FEVEREIRO",2,FACILITIES[[#This Row],[MÊS]]="MARÇO",3,FACILITIES[[#This Row],[MÊS]]="ABRIL",4,FACILITIES[[#This Row],[MÊS]]="MAIO",5,FACILITIES[[#This Row],[MÊS]]="JUNHO",6,FACILITIES[[#This Row],[MÊS]]="JULHO",7,FACILITIES[[#This Row],[MÊS]]="AGOSTO",8,FACILITIES[[#This Row],[MÊS]]="SETEMBRO",9,FACILITIES[[#This Row],[MÊS]]="OUTUBRO",10,FACILITIES[[#This Row],[MÊS]]="NOVEMBRO",11,FACILITIES[[#This Row],[MÊS]]="DEZEMBRO",12),"")</f>
        <v>2</v>
      </c>
      <c r="H14" s="1">
        <v>2025</v>
      </c>
      <c r="I14" t="s">
        <v>41</v>
      </c>
      <c r="J14" t="s">
        <v>64</v>
      </c>
      <c r="K14" t="s">
        <v>69</v>
      </c>
      <c r="L14" s="6">
        <v>45707</v>
      </c>
      <c r="M14" s="6">
        <v>45709</v>
      </c>
      <c r="N14" s="1" t="str">
        <f>IF(FACILITIES[[#This Row],[DATA FINALIZAÇÃO]]&lt;&gt;0,"Finalizado",IF(FACILITIES[[#This Row],[DATA INICIO]]&lt;&gt;0,"Em andamento","Pendente"))</f>
        <v>Finalizado</v>
      </c>
      <c r="O14" s="10">
        <f>IF(FACILITIES[[#This Row],[DATA FINALIZAÇÃO]]-FACILITIES[[#This Row],[DATA INICIO]]&lt;0,0,INT(FACILITIES[[#This Row],[DATA FINALIZAÇÃO]]-FACILITIES[[#This Row],[DATA INICIO]]))</f>
        <v>2</v>
      </c>
      <c r="P14" s="1" t="s">
        <v>70</v>
      </c>
      <c r="Q14" s="1" t="s">
        <v>71</v>
      </c>
      <c r="R14" s="9">
        <v>1E-3</v>
      </c>
      <c r="S14" t="s">
        <v>171</v>
      </c>
    </row>
    <row r="15" spans="1:21" x14ac:dyDescent="0.35">
      <c r="A15" s="1">
        <f t="shared" si="0"/>
        <v>13</v>
      </c>
      <c r="B15" s="1">
        <v>1</v>
      </c>
      <c r="C15" t="s">
        <v>89</v>
      </c>
      <c r="D15" t="s">
        <v>26</v>
      </c>
      <c r="E15" s="3">
        <v>45736</v>
      </c>
      <c r="F15" s="1" t="s">
        <v>81</v>
      </c>
      <c r="G15" s="1" cm="1">
        <f t="array" ref="G15">IFERROR(_xlfn.IFS(FACILITIES[[#This Row],[MÊS]]="JANEIRO",1,FACILITIES[[#This Row],[MÊS]]="FEVEREIRO",2,FACILITIES[[#This Row],[MÊS]]="MARÇO",3,FACILITIES[[#This Row],[MÊS]]="ABRIL",4,FACILITIES[[#This Row],[MÊS]]="MAIO",5,FACILITIES[[#This Row],[MÊS]]="JUNHO",6,FACILITIES[[#This Row],[MÊS]]="JULHO",7,FACILITIES[[#This Row],[MÊS]]="AGOSTO",8,FACILITIES[[#This Row],[MÊS]]="SETEMBRO",9,FACILITIES[[#This Row],[MÊS]]="OUTUBRO",10,FACILITIES[[#This Row],[MÊS]]="NOVEMBRO",11,FACILITIES[[#This Row],[MÊS]]="DEZEMBRO",12),"")</f>
        <v>3</v>
      </c>
      <c r="H15" s="1">
        <v>2025</v>
      </c>
      <c r="I15" t="s">
        <v>41</v>
      </c>
      <c r="J15" t="s">
        <v>64</v>
      </c>
      <c r="K15" t="s">
        <v>69</v>
      </c>
      <c r="L15" s="6">
        <v>45736</v>
      </c>
      <c r="M15" s="6">
        <v>45737</v>
      </c>
      <c r="N15" s="1" t="str">
        <f>IF(FACILITIES[[#This Row],[DATA FINALIZAÇÃO]]&lt;&gt;0,"Finalizado",IF(FACILITIES[[#This Row],[DATA INICIO]]&lt;&gt;0,"Em andamento","Pendente"))</f>
        <v>Finalizado</v>
      </c>
      <c r="O15" s="10">
        <f>IF(FACILITIES[[#This Row],[DATA FINALIZAÇÃO]]-FACILITIES[[#This Row],[DATA INICIO]]&lt;0,0,INT(FACILITIES[[#This Row],[DATA FINALIZAÇÃO]]-FACILITIES[[#This Row],[DATA INICIO]]))</f>
        <v>1</v>
      </c>
      <c r="P15" s="1" t="s">
        <v>70</v>
      </c>
      <c r="Q15" s="1" t="s">
        <v>71</v>
      </c>
      <c r="R15" s="9">
        <v>1E-3</v>
      </c>
      <c r="S15" t="s">
        <v>171</v>
      </c>
    </row>
    <row r="16" spans="1:21" x14ac:dyDescent="0.35">
      <c r="A16" s="1">
        <f t="shared" si="0"/>
        <v>14</v>
      </c>
      <c r="B16" s="1">
        <v>1</v>
      </c>
      <c r="C16" t="s">
        <v>89</v>
      </c>
      <c r="D16" t="s">
        <v>26</v>
      </c>
      <c r="E16" s="3">
        <v>45761</v>
      </c>
      <c r="F16" s="1" t="s">
        <v>82</v>
      </c>
      <c r="G16" s="1" cm="1">
        <f t="array" ref="G16">IFERROR(_xlfn.IFS(FACILITIES[[#This Row],[MÊS]]="JANEIRO",1,FACILITIES[[#This Row],[MÊS]]="FEVEREIRO",2,FACILITIES[[#This Row],[MÊS]]="MARÇO",3,FACILITIES[[#This Row],[MÊS]]="ABRIL",4,FACILITIES[[#This Row],[MÊS]]="MAIO",5,FACILITIES[[#This Row],[MÊS]]="JUNHO",6,FACILITIES[[#This Row],[MÊS]]="JULHO",7,FACILITIES[[#This Row],[MÊS]]="AGOSTO",8,FACILITIES[[#This Row],[MÊS]]="SETEMBRO",9,FACILITIES[[#This Row],[MÊS]]="OUTUBRO",10,FACILITIES[[#This Row],[MÊS]]="NOVEMBRO",11,FACILITIES[[#This Row],[MÊS]]="DEZEMBRO",12),"")</f>
        <v>4</v>
      </c>
      <c r="H16" s="1">
        <v>2025</v>
      </c>
      <c r="I16" t="s">
        <v>60</v>
      </c>
      <c r="J16" t="s">
        <v>64</v>
      </c>
      <c r="K16" t="s">
        <v>69</v>
      </c>
      <c r="L16" s="6">
        <v>45764</v>
      </c>
      <c r="M16" s="6">
        <v>45770</v>
      </c>
      <c r="N16" s="1" t="str">
        <f>IF(FACILITIES[[#This Row],[DATA FINALIZAÇÃO]]&lt;&gt;0,"Finalizado",IF(FACILITIES[[#This Row],[DATA INICIO]]&lt;&gt;0,"Em andamento","Pendente"))</f>
        <v>Finalizado</v>
      </c>
      <c r="O16" s="10">
        <f>IF(FACILITIES[[#This Row],[DATA FINALIZAÇÃO]]-FACILITIES[[#This Row],[DATA INICIO]]&lt;0,0,INT(FACILITIES[[#This Row],[DATA FINALIZAÇÃO]]-FACILITIES[[#This Row],[DATA INICIO]]))</f>
        <v>6</v>
      </c>
      <c r="P16" s="1" t="s">
        <v>70</v>
      </c>
      <c r="Q16" s="1" t="s">
        <v>70</v>
      </c>
      <c r="R16" s="9">
        <v>600</v>
      </c>
      <c r="S16" t="s">
        <v>159</v>
      </c>
      <c r="T16" t="s">
        <v>133</v>
      </c>
    </row>
    <row r="17" spans="1:20" x14ac:dyDescent="0.35">
      <c r="A17" s="1">
        <f t="shared" si="0"/>
        <v>15</v>
      </c>
      <c r="B17" s="1">
        <v>1</v>
      </c>
      <c r="C17" t="s">
        <v>89</v>
      </c>
      <c r="D17" t="s">
        <v>26</v>
      </c>
      <c r="E17" s="3">
        <v>45767</v>
      </c>
      <c r="F17" s="1" t="s">
        <v>82</v>
      </c>
      <c r="G17" s="1" cm="1">
        <f t="array" ref="G17">IFERROR(_xlfn.IFS(FACILITIES[[#This Row],[MÊS]]="JANEIRO",1,FACILITIES[[#This Row],[MÊS]]="FEVEREIRO",2,FACILITIES[[#This Row],[MÊS]]="MARÇO",3,FACILITIES[[#This Row],[MÊS]]="ABRIL",4,FACILITIES[[#This Row],[MÊS]]="MAIO",5,FACILITIES[[#This Row],[MÊS]]="JUNHO",6,FACILITIES[[#This Row],[MÊS]]="JULHO",7,FACILITIES[[#This Row],[MÊS]]="AGOSTO",8,FACILITIES[[#This Row],[MÊS]]="SETEMBRO",9,FACILITIES[[#This Row],[MÊS]]="OUTUBRO",10,FACILITIES[[#This Row],[MÊS]]="NOVEMBRO",11,FACILITIES[[#This Row],[MÊS]]="DEZEMBRO",12),"")</f>
        <v>4</v>
      </c>
      <c r="H17" s="1">
        <v>2025</v>
      </c>
      <c r="I17" t="s">
        <v>41</v>
      </c>
      <c r="J17" t="s">
        <v>64</v>
      </c>
      <c r="K17" t="s">
        <v>69</v>
      </c>
      <c r="L17" s="6">
        <v>45767</v>
      </c>
      <c r="M17" s="6">
        <v>45768</v>
      </c>
      <c r="N17" s="1" t="str">
        <f>IF(FACILITIES[[#This Row],[DATA FINALIZAÇÃO]]&lt;&gt;0,"Finalizado",IF(FACILITIES[[#This Row],[DATA INICIO]]&lt;&gt;0,"Em andamento","Pendente"))</f>
        <v>Finalizado</v>
      </c>
      <c r="O17" s="10">
        <f>IF(FACILITIES[[#This Row],[DATA FINALIZAÇÃO]]-FACILITIES[[#This Row],[DATA INICIO]]&lt;0,0,INT(FACILITIES[[#This Row],[DATA FINALIZAÇÃO]]-FACILITIES[[#This Row],[DATA INICIO]]))</f>
        <v>1</v>
      </c>
      <c r="P17" s="1" t="s">
        <v>70</v>
      </c>
      <c r="Q17" s="1" t="s">
        <v>71</v>
      </c>
      <c r="R17" s="9">
        <v>1E-3</v>
      </c>
      <c r="S17" t="s">
        <v>171</v>
      </c>
    </row>
    <row r="18" spans="1:20" x14ac:dyDescent="0.35">
      <c r="A18" s="1">
        <f t="shared" si="0"/>
        <v>16</v>
      </c>
      <c r="B18" s="1">
        <v>1</v>
      </c>
      <c r="C18" t="s">
        <v>89</v>
      </c>
      <c r="D18" t="s">
        <v>26</v>
      </c>
      <c r="E18" s="3">
        <v>45782</v>
      </c>
      <c r="F18" s="1" t="s">
        <v>83</v>
      </c>
      <c r="G18" s="1" cm="1">
        <f t="array" ref="G18">IFERROR(_xlfn.IFS(FACILITIES[[#This Row],[MÊS]]="JANEIRO",1,FACILITIES[[#This Row],[MÊS]]="FEVEREIRO",2,FACILITIES[[#This Row],[MÊS]]="MARÇO",3,FACILITIES[[#This Row],[MÊS]]="ABRIL",4,FACILITIES[[#This Row],[MÊS]]="MAIO",5,FACILITIES[[#This Row],[MÊS]]="JUNHO",6,FACILITIES[[#This Row],[MÊS]]="JULHO",7,FACILITIES[[#This Row],[MÊS]]="AGOSTO",8,FACILITIES[[#This Row],[MÊS]]="SETEMBRO",9,FACILITIES[[#This Row],[MÊS]]="OUTUBRO",10,FACILITIES[[#This Row],[MÊS]]="NOVEMBRO",11,FACILITIES[[#This Row],[MÊS]]="DEZEMBRO",12),"")</f>
        <v>5</v>
      </c>
      <c r="H18" s="1">
        <v>2025</v>
      </c>
      <c r="I18" t="s">
        <v>40</v>
      </c>
      <c r="J18" t="s">
        <v>64</v>
      </c>
      <c r="K18" t="s">
        <v>67</v>
      </c>
      <c r="L18" s="6">
        <v>45782</v>
      </c>
      <c r="M18" s="6">
        <v>45782</v>
      </c>
      <c r="N18" s="1" t="str">
        <f>IF(FACILITIES[[#This Row],[DATA FINALIZAÇÃO]]&lt;&gt;0,"Finalizado",IF(FACILITIES[[#This Row],[DATA INICIO]]&lt;&gt;0,"Em andamento","Pendente"))</f>
        <v>Finalizado</v>
      </c>
      <c r="O18" s="10">
        <f>IF(FACILITIES[[#This Row],[DATA FINALIZAÇÃO]]-FACILITIES[[#This Row],[DATA INICIO]]&lt;0,0,INT(FACILITIES[[#This Row],[DATA FINALIZAÇÃO]]-FACILITIES[[#This Row],[DATA INICIO]]))</f>
        <v>0</v>
      </c>
      <c r="P18" s="1" t="s">
        <v>70</v>
      </c>
      <c r="Q18" s="1" t="s">
        <v>71</v>
      </c>
      <c r="R18" s="9">
        <v>350</v>
      </c>
      <c r="S18" t="s">
        <v>200</v>
      </c>
      <c r="T18" t="s">
        <v>138</v>
      </c>
    </row>
    <row r="19" spans="1:20" x14ac:dyDescent="0.35">
      <c r="A19" s="1">
        <f t="shared" si="0"/>
        <v>17</v>
      </c>
      <c r="B19" s="1">
        <v>1</v>
      </c>
      <c r="C19" t="s">
        <v>89</v>
      </c>
      <c r="D19" t="s">
        <v>26</v>
      </c>
      <c r="E19" s="3">
        <v>45782</v>
      </c>
      <c r="F19" s="1" t="s">
        <v>83</v>
      </c>
      <c r="G19" s="1" cm="1">
        <f t="array" ref="G19">IFERROR(_xlfn.IFS(FACILITIES[[#This Row],[MÊS]]="JANEIRO",1,FACILITIES[[#This Row],[MÊS]]="FEVEREIRO",2,FACILITIES[[#This Row],[MÊS]]="MARÇO",3,FACILITIES[[#This Row],[MÊS]]="ABRIL",4,FACILITIES[[#This Row],[MÊS]]="MAIO",5,FACILITIES[[#This Row],[MÊS]]="JUNHO",6,FACILITIES[[#This Row],[MÊS]]="JULHO",7,FACILITIES[[#This Row],[MÊS]]="AGOSTO",8,FACILITIES[[#This Row],[MÊS]]="SETEMBRO",9,FACILITIES[[#This Row],[MÊS]]="OUTUBRO",10,FACILITIES[[#This Row],[MÊS]]="NOVEMBRO",11,FACILITIES[[#This Row],[MÊS]]="DEZEMBRO",12),"")</f>
        <v>5</v>
      </c>
      <c r="H19" s="1">
        <v>2025</v>
      </c>
      <c r="I19" t="s">
        <v>39</v>
      </c>
      <c r="J19" t="s">
        <v>64</v>
      </c>
      <c r="K19" t="s">
        <v>67</v>
      </c>
      <c r="L19" s="6">
        <v>45782</v>
      </c>
      <c r="M19" s="6">
        <v>45782</v>
      </c>
      <c r="N19" s="1" t="str">
        <f>IF(FACILITIES[[#This Row],[DATA FINALIZAÇÃO]]&lt;&gt;0,"Finalizado",IF(FACILITIES[[#This Row],[DATA INICIO]]&lt;&gt;0,"Em andamento","Pendente"))</f>
        <v>Finalizado</v>
      </c>
      <c r="O19" s="10">
        <f>IF(FACILITIES[[#This Row],[DATA FINALIZAÇÃO]]-FACILITIES[[#This Row],[DATA INICIO]]&lt;0,0,INT(FACILITIES[[#This Row],[DATA FINALIZAÇÃO]]-FACILITIES[[#This Row],[DATA INICIO]]))</f>
        <v>0</v>
      </c>
      <c r="P19" s="1" t="s">
        <v>70</v>
      </c>
      <c r="Q19" s="1" t="s">
        <v>71</v>
      </c>
      <c r="R19" s="9">
        <v>750</v>
      </c>
      <c r="S19" t="s">
        <v>212</v>
      </c>
      <c r="T19" t="s">
        <v>139</v>
      </c>
    </row>
    <row r="20" spans="1:20" x14ac:dyDescent="0.35">
      <c r="A20" s="1">
        <f t="shared" si="0"/>
        <v>18</v>
      </c>
      <c r="B20" s="1">
        <v>1</v>
      </c>
      <c r="C20" t="s">
        <v>89</v>
      </c>
      <c r="D20" t="s">
        <v>26</v>
      </c>
      <c r="E20" s="3">
        <v>45775</v>
      </c>
      <c r="F20" s="1" t="s">
        <v>82</v>
      </c>
      <c r="G20" s="1" cm="1">
        <f t="array" ref="G20">IFERROR(_xlfn.IFS(FACILITIES[[#This Row],[MÊS]]="JANEIRO",1,FACILITIES[[#This Row],[MÊS]]="FEVEREIRO",2,FACILITIES[[#This Row],[MÊS]]="MARÇO",3,FACILITIES[[#This Row],[MÊS]]="ABRIL",4,FACILITIES[[#This Row],[MÊS]]="MAIO",5,FACILITIES[[#This Row],[MÊS]]="JUNHO",6,FACILITIES[[#This Row],[MÊS]]="JULHO",7,FACILITIES[[#This Row],[MÊS]]="AGOSTO",8,FACILITIES[[#This Row],[MÊS]]="SETEMBRO",9,FACILITIES[[#This Row],[MÊS]]="OUTUBRO",10,FACILITIES[[#This Row],[MÊS]]="NOVEMBRO",11,FACILITIES[[#This Row],[MÊS]]="DEZEMBRO",12),"")</f>
        <v>4</v>
      </c>
      <c r="H20" s="1">
        <v>2025</v>
      </c>
      <c r="I20" t="s">
        <v>51</v>
      </c>
      <c r="J20" t="s">
        <v>64</v>
      </c>
      <c r="K20" t="s">
        <v>69</v>
      </c>
      <c r="L20" s="6">
        <v>45775</v>
      </c>
      <c r="M20" s="6">
        <v>45779</v>
      </c>
      <c r="N20" s="1" t="str">
        <f>IF(FACILITIES[[#This Row],[DATA FINALIZAÇÃO]]&lt;&gt;0,"Finalizado",IF(FACILITIES[[#This Row],[DATA INICIO]]&lt;&gt;0,"Em andamento","Pendente"))</f>
        <v>Finalizado</v>
      </c>
      <c r="O20" s="10">
        <f>IF(FACILITIES[[#This Row],[DATA FINALIZAÇÃO]]-FACILITIES[[#This Row],[DATA INICIO]]&lt;0,0,INT(FACILITIES[[#This Row],[DATA FINALIZAÇÃO]]-FACILITIES[[#This Row],[DATA INICIO]]))</f>
        <v>4</v>
      </c>
      <c r="P20" s="1" t="s">
        <v>70</v>
      </c>
      <c r="Q20" s="1" t="s">
        <v>70</v>
      </c>
      <c r="R20" s="9">
        <v>857</v>
      </c>
      <c r="S20" t="s">
        <v>158</v>
      </c>
      <c r="T20" t="s">
        <v>140</v>
      </c>
    </row>
    <row r="21" spans="1:20" x14ac:dyDescent="0.35">
      <c r="A21" s="1">
        <f t="shared" si="0"/>
        <v>19</v>
      </c>
      <c r="B21" s="1">
        <v>1</v>
      </c>
      <c r="C21" t="s">
        <v>89</v>
      </c>
      <c r="D21" t="s">
        <v>26</v>
      </c>
      <c r="E21" s="3">
        <v>45797</v>
      </c>
      <c r="F21" s="1" t="s">
        <v>83</v>
      </c>
      <c r="G21" s="1" cm="1">
        <f t="array" ref="G21">IFERROR(_xlfn.IFS(FACILITIES[[#This Row],[MÊS]]="JANEIRO",1,FACILITIES[[#This Row],[MÊS]]="FEVEREIRO",2,FACILITIES[[#This Row],[MÊS]]="MARÇO",3,FACILITIES[[#This Row],[MÊS]]="ABRIL",4,FACILITIES[[#This Row],[MÊS]]="MAIO",5,FACILITIES[[#This Row],[MÊS]]="JUNHO",6,FACILITIES[[#This Row],[MÊS]]="JULHO",7,FACILITIES[[#This Row],[MÊS]]="AGOSTO",8,FACILITIES[[#This Row],[MÊS]]="SETEMBRO",9,FACILITIES[[#This Row],[MÊS]]="OUTUBRO",10,FACILITIES[[#This Row],[MÊS]]="NOVEMBRO",11,FACILITIES[[#This Row],[MÊS]]="DEZEMBRO",12),"")</f>
        <v>5</v>
      </c>
      <c r="H21" s="1">
        <v>2025</v>
      </c>
      <c r="I21" t="s">
        <v>128</v>
      </c>
      <c r="J21" t="s">
        <v>64</v>
      </c>
      <c r="K21" t="s">
        <v>67</v>
      </c>
      <c r="L21" s="6">
        <v>45796</v>
      </c>
      <c r="M21" s="6">
        <v>45797</v>
      </c>
      <c r="N21" s="1" t="str">
        <f>IF(FACILITIES[[#This Row],[DATA FINALIZAÇÃO]]&lt;&gt;0,"Finalizado",IF(FACILITIES[[#This Row],[DATA INICIO]]&lt;&gt;0,"Em andamento","Pendente"))</f>
        <v>Finalizado</v>
      </c>
      <c r="O21" s="10">
        <f>IF(FACILITIES[[#This Row],[DATA FINALIZAÇÃO]]-FACILITIES[[#This Row],[DATA INICIO]]&lt;0,0,INT(FACILITIES[[#This Row],[DATA FINALIZAÇÃO]]-FACILITIES[[#This Row],[DATA INICIO]]))</f>
        <v>1</v>
      </c>
      <c r="P21" s="1" t="s">
        <v>70</v>
      </c>
      <c r="Q21" s="1" t="s">
        <v>71</v>
      </c>
      <c r="R21" s="9">
        <v>1470</v>
      </c>
      <c r="S21" t="s">
        <v>211</v>
      </c>
      <c r="T21" t="s">
        <v>141</v>
      </c>
    </row>
    <row r="22" spans="1:20" x14ac:dyDescent="0.35">
      <c r="A22" s="1">
        <f t="shared" si="0"/>
        <v>20</v>
      </c>
      <c r="B22" s="1">
        <v>1</v>
      </c>
      <c r="C22" t="s">
        <v>89</v>
      </c>
      <c r="D22" t="s">
        <v>26</v>
      </c>
      <c r="E22" s="3">
        <v>45799</v>
      </c>
      <c r="F22" s="1" t="s">
        <v>83</v>
      </c>
      <c r="G22" s="1" cm="1">
        <f t="array" ref="G22">IFERROR(_xlfn.IFS(FACILITIES[[#This Row],[MÊS]]="JANEIRO",1,FACILITIES[[#This Row],[MÊS]]="FEVEREIRO",2,FACILITIES[[#This Row],[MÊS]]="MARÇO",3,FACILITIES[[#This Row],[MÊS]]="ABRIL",4,FACILITIES[[#This Row],[MÊS]]="MAIO",5,FACILITIES[[#This Row],[MÊS]]="JUNHO",6,FACILITIES[[#This Row],[MÊS]]="JULHO",7,FACILITIES[[#This Row],[MÊS]]="AGOSTO",8,FACILITIES[[#This Row],[MÊS]]="SETEMBRO",9,FACILITIES[[#This Row],[MÊS]]="OUTUBRO",10,FACILITIES[[#This Row],[MÊS]]="NOVEMBRO",11,FACILITIES[[#This Row],[MÊS]]="DEZEMBRO",12),"")</f>
        <v>5</v>
      </c>
      <c r="H22" s="1">
        <v>2025</v>
      </c>
      <c r="I22" t="s">
        <v>41</v>
      </c>
      <c r="J22" t="s">
        <v>64</v>
      </c>
      <c r="K22" t="s">
        <v>69</v>
      </c>
      <c r="L22" s="6">
        <v>45799</v>
      </c>
      <c r="M22" s="6">
        <v>45800</v>
      </c>
      <c r="N22" s="1" t="str">
        <f>IF(FACILITIES[[#This Row],[DATA FINALIZAÇÃO]]&lt;&gt;0,"Finalizado",IF(FACILITIES[[#This Row],[DATA INICIO]]&lt;&gt;0,"Em andamento","Pendente"))</f>
        <v>Finalizado</v>
      </c>
      <c r="O22" s="10">
        <f>IF(FACILITIES[[#This Row],[DATA FINALIZAÇÃO]]-FACILITIES[[#This Row],[DATA INICIO]]&lt;0,0,INT(FACILITIES[[#This Row],[DATA FINALIZAÇÃO]]-FACILITIES[[#This Row],[DATA INICIO]]))</f>
        <v>1</v>
      </c>
      <c r="P22" s="1" t="s">
        <v>70</v>
      </c>
      <c r="Q22" s="1" t="s">
        <v>71</v>
      </c>
      <c r="R22" s="9">
        <v>1E-3</v>
      </c>
      <c r="S22" t="s">
        <v>171</v>
      </c>
    </row>
    <row r="23" spans="1:20" x14ac:dyDescent="0.35">
      <c r="A23" s="1">
        <f t="shared" si="0"/>
        <v>21</v>
      </c>
      <c r="B23" s="1">
        <v>1</v>
      </c>
      <c r="C23" t="s">
        <v>89</v>
      </c>
      <c r="D23" t="s">
        <v>26</v>
      </c>
      <c r="E23" s="3">
        <v>45807</v>
      </c>
      <c r="F23" s="1" t="s">
        <v>83</v>
      </c>
      <c r="G23" s="1" cm="1">
        <f t="array" ref="G23">IFERROR(_xlfn.IFS(FACILITIES[[#This Row],[MÊS]]="JANEIRO",1,FACILITIES[[#This Row],[MÊS]]="FEVEREIRO",2,FACILITIES[[#This Row],[MÊS]]="MARÇO",3,FACILITIES[[#This Row],[MÊS]]="ABRIL",4,FACILITIES[[#This Row],[MÊS]]="MAIO",5,FACILITIES[[#This Row],[MÊS]]="JUNHO",6,FACILITIES[[#This Row],[MÊS]]="JULHO",7,FACILITIES[[#This Row],[MÊS]]="AGOSTO",8,FACILITIES[[#This Row],[MÊS]]="SETEMBRO",9,FACILITIES[[#This Row],[MÊS]]="OUTUBRO",10,FACILITIES[[#This Row],[MÊS]]="NOVEMBRO",11,FACILITIES[[#This Row],[MÊS]]="DEZEMBRO",12),"")</f>
        <v>5</v>
      </c>
      <c r="H23" s="1">
        <v>2025</v>
      </c>
      <c r="I23" t="s">
        <v>54</v>
      </c>
      <c r="J23" t="s">
        <v>64</v>
      </c>
      <c r="K23" t="s">
        <v>67</v>
      </c>
      <c r="L23" s="6">
        <v>45838</v>
      </c>
      <c r="M23" s="6">
        <v>45846</v>
      </c>
      <c r="N23" s="1" t="str">
        <f>IF(FACILITIES[[#This Row],[DATA FINALIZAÇÃO]]&lt;&gt;0,"Finalizado",IF(FACILITIES[[#This Row],[DATA INICIO]]&lt;&gt;0,"Em andamento","Pendente"))</f>
        <v>Finalizado</v>
      </c>
      <c r="O23" s="10">
        <f>IF(FACILITIES[[#This Row],[DATA FINALIZAÇÃO]]-FACILITIES[[#This Row],[DATA INICIO]]&lt;0,0,INT(FACILITIES[[#This Row],[DATA FINALIZAÇÃO]]-FACILITIES[[#This Row],[DATA INICIO]]))</f>
        <v>8</v>
      </c>
      <c r="P23" s="1" t="s">
        <v>70</v>
      </c>
      <c r="Q23" s="1" t="s">
        <v>71</v>
      </c>
      <c r="R23" s="9">
        <v>586</v>
      </c>
      <c r="S23" t="s">
        <v>198</v>
      </c>
      <c r="T23" t="s">
        <v>199</v>
      </c>
    </row>
    <row r="24" spans="1:20" x14ac:dyDescent="0.35">
      <c r="A24" s="1">
        <f t="shared" si="0"/>
        <v>22</v>
      </c>
      <c r="B24" s="1">
        <v>1</v>
      </c>
      <c r="C24" t="s">
        <v>89</v>
      </c>
      <c r="D24" t="s">
        <v>26</v>
      </c>
      <c r="E24" s="3">
        <v>45807</v>
      </c>
      <c r="F24" s="1" t="s">
        <v>83</v>
      </c>
      <c r="G24" s="1" cm="1">
        <f t="array" ref="G24">IFERROR(_xlfn.IFS(FACILITIES[[#This Row],[MÊS]]="JANEIRO",1,FACILITIES[[#This Row],[MÊS]]="FEVEREIRO",2,FACILITIES[[#This Row],[MÊS]]="MARÇO",3,FACILITIES[[#This Row],[MÊS]]="ABRIL",4,FACILITIES[[#This Row],[MÊS]]="MAIO",5,FACILITIES[[#This Row],[MÊS]]="JUNHO",6,FACILITIES[[#This Row],[MÊS]]="JULHO",7,FACILITIES[[#This Row],[MÊS]]="AGOSTO",8,FACILITIES[[#This Row],[MÊS]]="SETEMBRO",9,FACILITIES[[#This Row],[MÊS]]="OUTUBRO",10,FACILITIES[[#This Row],[MÊS]]="NOVEMBRO",11,FACILITIES[[#This Row],[MÊS]]="DEZEMBRO",12),"")</f>
        <v>5</v>
      </c>
      <c r="H24" s="1">
        <v>2025</v>
      </c>
      <c r="I24" t="s">
        <v>54</v>
      </c>
      <c r="J24" t="s">
        <v>64</v>
      </c>
      <c r="K24" t="s">
        <v>67</v>
      </c>
      <c r="L24" s="6">
        <v>45788</v>
      </c>
      <c r="M24" s="6">
        <v>45800</v>
      </c>
      <c r="N24" s="1" t="str">
        <f>IF(FACILITIES[[#This Row],[DATA FINALIZAÇÃO]]&lt;&gt;0,"Finalizado",IF(FACILITIES[[#This Row],[DATA INICIO]]&lt;&gt;0,"Em andamento","Pendente"))</f>
        <v>Finalizado</v>
      </c>
      <c r="O24" s="10">
        <f>IF(FACILITIES[[#This Row],[DATA FINALIZAÇÃO]]-FACILITIES[[#This Row],[DATA INICIO]]&lt;0,0,INT(FACILITIES[[#This Row],[DATA FINALIZAÇÃO]]-FACILITIES[[#This Row],[DATA INICIO]]))</f>
        <v>12</v>
      </c>
      <c r="P24" s="1" t="s">
        <v>70</v>
      </c>
      <c r="Q24" s="1" t="s">
        <v>71</v>
      </c>
      <c r="R24" s="9">
        <v>856</v>
      </c>
      <c r="S24" t="s">
        <v>198</v>
      </c>
      <c r="T24" t="s">
        <v>144</v>
      </c>
    </row>
    <row r="25" spans="1:20" x14ac:dyDescent="0.35">
      <c r="A25" s="1">
        <f t="shared" si="0"/>
        <v>23</v>
      </c>
      <c r="B25" s="1">
        <v>1</v>
      </c>
      <c r="C25" t="s">
        <v>142</v>
      </c>
      <c r="D25" t="s">
        <v>4</v>
      </c>
      <c r="E25" s="3">
        <v>45807</v>
      </c>
      <c r="F25" s="1" t="s">
        <v>83</v>
      </c>
      <c r="G25" s="1" cm="1">
        <f t="array" ref="G25">IFERROR(_xlfn.IFS(FACILITIES[[#This Row],[MÊS]]="JANEIRO",1,FACILITIES[[#This Row],[MÊS]]="FEVEREIRO",2,FACILITIES[[#This Row],[MÊS]]="MARÇO",3,FACILITIES[[#This Row],[MÊS]]="ABRIL",4,FACILITIES[[#This Row],[MÊS]]="MAIO",5,FACILITIES[[#This Row],[MÊS]]="JUNHO",6,FACILITIES[[#This Row],[MÊS]]="JULHO",7,FACILITIES[[#This Row],[MÊS]]="AGOSTO",8,FACILITIES[[#This Row],[MÊS]]="SETEMBRO",9,FACILITIES[[#This Row],[MÊS]]="OUTUBRO",10,FACILITIES[[#This Row],[MÊS]]="NOVEMBRO",11,FACILITIES[[#This Row],[MÊS]]="DEZEMBRO",12),"")</f>
        <v>5</v>
      </c>
      <c r="H25" s="1">
        <v>2025</v>
      </c>
      <c r="I25" t="s">
        <v>48</v>
      </c>
      <c r="J25" t="s">
        <v>64</v>
      </c>
      <c r="K25" t="s">
        <v>67</v>
      </c>
      <c r="L25" s="6">
        <v>45819</v>
      </c>
      <c r="M25" s="6">
        <v>45819</v>
      </c>
      <c r="N25" s="1" t="str">
        <f>IF(FACILITIES[[#This Row],[DATA FINALIZAÇÃO]]&lt;&gt;0,"Finalizado",IF(FACILITIES[[#This Row],[DATA INICIO]]&lt;&gt;0,"Em andamento","Pendente"))</f>
        <v>Finalizado</v>
      </c>
      <c r="O25" s="10">
        <f>IF(FACILITIES[[#This Row],[DATA FINALIZAÇÃO]]-FACILITIES[[#This Row],[DATA INICIO]]&lt;0,0,INT(FACILITIES[[#This Row],[DATA FINALIZAÇÃO]]-FACILITIES[[#This Row],[DATA INICIO]]))</f>
        <v>0</v>
      </c>
      <c r="P25" s="1" t="s">
        <v>70</v>
      </c>
      <c r="Q25" s="1" t="s">
        <v>71</v>
      </c>
      <c r="R25" s="9">
        <v>586</v>
      </c>
      <c r="S25" t="s">
        <v>197</v>
      </c>
      <c r="T25" t="s">
        <v>143</v>
      </c>
    </row>
    <row r="26" spans="1:20" x14ac:dyDescent="0.35">
      <c r="A26" s="1">
        <f t="shared" si="0"/>
        <v>24</v>
      </c>
      <c r="B26" s="1">
        <v>1</v>
      </c>
      <c r="C26" t="s">
        <v>89</v>
      </c>
      <c r="D26" t="s">
        <v>26</v>
      </c>
      <c r="E26" s="3">
        <v>45828</v>
      </c>
      <c r="F26" s="1" t="s">
        <v>78</v>
      </c>
      <c r="G26" s="1" cm="1">
        <f t="array" ref="G26">IFERROR(_xlfn.IFS(FACILITIES[[#This Row],[MÊS]]="JANEIRO",1,FACILITIES[[#This Row],[MÊS]]="FEVEREIRO",2,FACILITIES[[#This Row],[MÊS]]="MARÇO",3,FACILITIES[[#This Row],[MÊS]]="ABRIL",4,FACILITIES[[#This Row],[MÊS]]="MAIO",5,FACILITIES[[#This Row],[MÊS]]="JUNHO",6,FACILITIES[[#This Row],[MÊS]]="JULHO",7,FACILITIES[[#This Row],[MÊS]]="AGOSTO",8,FACILITIES[[#This Row],[MÊS]]="SETEMBRO",9,FACILITIES[[#This Row],[MÊS]]="OUTUBRO",10,FACILITIES[[#This Row],[MÊS]]="NOVEMBRO",11,FACILITIES[[#This Row],[MÊS]]="DEZEMBRO",12),"")</f>
        <v>6</v>
      </c>
      <c r="H26" s="1">
        <v>2025</v>
      </c>
      <c r="I26" t="s">
        <v>41</v>
      </c>
      <c r="J26" t="s">
        <v>64</v>
      </c>
      <c r="K26" t="s">
        <v>69</v>
      </c>
      <c r="L26" s="6">
        <v>45828</v>
      </c>
      <c r="M26" s="6">
        <v>45829</v>
      </c>
      <c r="N26" s="1" t="str">
        <f>IF(FACILITIES[[#This Row],[DATA FINALIZAÇÃO]]&lt;&gt;0,"Finalizado",IF(FACILITIES[[#This Row],[DATA INICIO]]&lt;&gt;0,"Em andamento","Pendente"))</f>
        <v>Finalizado</v>
      </c>
      <c r="O26" s="10">
        <f>IF(FACILITIES[[#This Row],[DATA FINALIZAÇÃO]]-FACILITIES[[#This Row],[DATA INICIO]]&lt;0,0,INT(FACILITIES[[#This Row],[DATA FINALIZAÇÃO]]-FACILITIES[[#This Row],[DATA INICIO]]))</f>
        <v>1</v>
      </c>
      <c r="P26" s="1" t="s">
        <v>70</v>
      </c>
      <c r="Q26" s="1" t="s">
        <v>71</v>
      </c>
      <c r="R26" s="9">
        <v>1E-3</v>
      </c>
      <c r="S26" t="s">
        <v>171</v>
      </c>
    </row>
    <row r="27" spans="1:20" x14ac:dyDescent="0.35">
      <c r="A27" s="1">
        <f t="shared" si="0"/>
        <v>25</v>
      </c>
      <c r="B27" s="1">
        <v>1</v>
      </c>
      <c r="C27" t="s">
        <v>89</v>
      </c>
      <c r="D27" t="s">
        <v>26</v>
      </c>
      <c r="E27" s="3">
        <v>45860</v>
      </c>
      <c r="F27" s="1" t="s">
        <v>84</v>
      </c>
      <c r="G27" s="1" cm="1">
        <f t="array" ref="G27">IFERROR(_xlfn.IFS(FACILITIES[[#This Row],[MÊS]]="JANEIRO",1,FACILITIES[[#This Row],[MÊS]]="FEVEREIRO",2,FACILITIES[[#This Row],[MÊS]]="MARÇO",3,FACILITIES[[#This Row],[MÊS]]="ABRIL",4,FACILITIES[[#This Row],[MÊS]]="MAIO",5,FACILITIES[[#This Row],[MÊS]]="JUNHO",6,FACILITIES[[#This Row],[MÊS]]="JULHO",7,FACILITIES[[#This Row],[MÊS]]="AGOSTO",8,FACILITIES[[#This Row],[MÊS]]="SETEMBRO",9,FACILITIES[[#This Row],[MÊS]]="OUTUBRO",10,FACILITIES[[#This Row],[MÊS]]="NOVEMBRO",11,FACILITIES[[#This Row],[MÊS]]="DEZEMBRO",12),"")</f>
        <v>7</v>
      </c>
      <c r="H27" s="1">
        <v>2025</v>
      </c>
      <c r="I27" t="s">
        <v>41</v>
      </c>
      <c r="J27" t="s">
        <v>64</v>
      </c>
      <c r="K27" t="s">
        <v>69</v>
      </c>
      <c r="L27" s="6">
        <v>45860</v>
      </c>
      <c r="M27" s="6">
        <v>45861</v>
      </c>
      <c r="N27" s="1" t="str">
        <f>IF(FACILITIES[[#This Row],[DATA FINALIZAÇÃO]]&lt;&gt;0,"Finalizado",IF(FACILITIES[[#This Row],[DATA INICIO]]&lt;&gt;0,"Em andamento","Pendente"))</f>
        <v>Finalizado</v>
      </c>
      <c r="O27" s="10">
        <f>IF(FACILITIES[[#This Row],[DATA FINALIZAÇÃO]]-FACILITIES[[#This Row],[DATA INICIO]]&lt;0,0,INT(FACILITIES[[#This Row],[DATA FINALIZAÇÃO]]-FACILITIES[[#This Row],[DATA INICIO]]))</f>
        <v>1</v>
      </c>
      <c r="P27" s="1" t="s">
        <v>70</v>
      </c>
      <c r="Q27" s="1" t="s">
        <v>71</v>
      </c>
      <c r="R27" s="9">
        <v>1E-3</v>
      </c>
      <c r="S27" t="s">
        <v>171</v>
      </c>
    </row>
    <row r="28" spans="1:20" x14ac:dyDescent="0.35">
      <c r="A28" s="1">
        <f t="shared" si="0"/>
        <v>26</v>
      </c>
      <c r="B28" s="1">
        <v>1</v>
      </c>
      <c r="C28" t="s">
        <v>89</v>
      </c>
      <c r="D28" t="s">
        <v>26</v>
      </c>
      <c r="E28" s="3">
        <v>45882</v>
      </c>
      <c r="F28" s="1" t="s">
        <v>85</v>
      </c>
      <c r="G28" s="1" cm="1">
        <f t="array" ref="G28">IFERROR(_xlfn.IFS(FACILITIES[[#This Row],[MÊS]]="JANEIRO",1,FACILITIES[[#This Row],[MÊS]]="FEVEREIRO",2,FACILITIES[[#This Row],[MÊS]]="MARÇO",3,FACILITIES[[#This Row],[MÊS]]="ABRIL",4,FACILITIES[[#This Row],[MÊS]]="MAIO",5,FACILITIES[[#This Row],[MÊS]]="JUNHO",6,FACILITIES[[#This Row],[MÊS]]="JULHO",7,FACILITIES[[#This Row],[MÊS]]="AGOSTO",8,FACILITIES[[#This Row],[MÊS]]="SETEMBRO",9,FACILITIES[[#This Row],[MÊS]]="OUTUBRO",10,FACILITIES[[#This Row],[MÊS]]="NOVEMBRO",11,FACILITIES[[#This Row],[MÊS]]="DEZEMBRO",12),"")</f>
        <v>8</v>
      </c>
      <c r="H28" s="1">
        <v>2025</v>
      </c>
      <c r="I28" t="s">
        <v>91</v>
      </c>
      <c r="J28" t="s">
        <v>64</v>
      </c>
      <c r="K28" t="s">
        <v>67</v>
      </c>
      <c r="L28" s="6">
        <v>45882</v>
      </c>
      <c r="M28" s="6">
        <v>45883</v>
      </c>
      <c r="N28" s="1" t="str">
        <f>IF(FACILITIES[[#This Row],[DATA FINALIZAÇÃO]]&lt;&gt;0,"Finalizado",IF(FACILITIES[[#This Row],[DATA INICIO]]&lt;&gt;0,"Em andamento","Pendente"))</f>
        <v>Finalizado</v>
      </c>
      <c r="O28" s="10">
        <f>IF(FACILITIES[[#This Row],[DATA FINALIZAÇÃO]]-FACILITIES[[#This Row],[DATA INICIO]]&lt;0,0,INT(FACILITIES[[#This Row],[DATA FINALIZAÇÃO]]-FACILITIES[[#This Row],[DATA INICIO]]))</f>
        <v>1</v>
      </c>
      <c r="P28" s="1" t="s">
        <v>70</v>
      </c>
      <c r="Q28" s="1" t="s">
        <v>71</v>
      </c>
      <c r="R28" s="9">
        <v>209</v>
      </c>
      <c r="S28" t="s">
        <v>196</v>
      </c>
      <c r="T28" t="s">
        <v>145</v>
      </c>
    </row>
    <row r="29" spans="1:20" x14ac:dyDescent="0.35">
      <c r="A29" s="1">
        <f t="shared" si="0"/>
        <v>27</v>
      </c>
      <c r="B29" s="1">
        <v>1</v>
      </c>
      <c r="C29" t="s">
        <v>89</v>
      </c>
      <c r="D29" t="s">
        <v>26</v>
      </c>
      <c r="E29" s="3">
        <v>45881</v>
      </c>
      <c r="F29" s="1" t="s">
        <v>85</v>
      </c>
      <c r="G29" s="1" cm="1">
        <f t="array" ref="G29">IFERROR(_xlfn.IFS(FACILITIES[[#This Row],[MÊS]]="JANEIRO",1,FACILITIES[[#This Row],[MÊS]]="FEVEREIRO",2,FACILITIES[[#This Row],[MÊS]]="MARÇO",3,FACILITIES[[#This Row],[MÊS]]="ABRIL",4,FACILITIES[[#This Row],[MÊS]]="MAIO",5,FACILITIES[[#This Row],[MÊS]]="JUNHO",6,FACILITIES[[#This Row],[MÊS]]="JULHO",7,FACILITIES[[#This Row],[MÊS]]="AGOSTO",8,FACILITIES[[#This Row],[MÊS]]="SETEMBRO",9,FACILITIES[[#This Row],[MÊS]]="OUTUBRO",10,FACILITIES[[#This Row],[MÊS]]="NOVEMBRO",11,FACILITIES[[#This Row],[MÊS]]="DEZEMBRO",12),"")</f>
        <v>8</v>
      </c>
      <c r="H29" s="1">
        <v>2025</v>
      </c>
      <c r="I29" t="s">
        <v>55</v>
      </c>
      <c r="J29" t="s">
        <v>64</v>
      </c>
      <c r="K29" t="s">
        <v>67</v>
      </c>
      <c r="L29" s="6">
        <v>45881</v>
      </c>
      <c r="M29" s="6">
        <v>45882</v>
      </c>
      <c r="N29" s="1" t="str">
        <f>IF(FACILITIES[[#This Row],[DATA FINALIZAÇÃO]]&lt;&gt;0,"Finalizado",IF(FACILITIES[[#This Row],[DATA INICIO]]&lt;&gt;0,"Em andamento","Pendente"))</f>
        <v>Finalizado</v>
      </c>
      <c r="O29" s="10">
        <f>IF(FACILITIES[[#This Row],[DATA FINALIZAÇÃO]]-FACILITIES[[#This Row],[DATA INICIO]]&lt;0,0,INT(FACILITIES[[#This Row],[DATA FINALIZAÇÃO]]-FACILITIES[[#This Row],[DATA INICIO]]))</f>
        <v>1</v>
      </c>
      <c r="P29" s="1" t="s">
        <v>70</v>
      </c>
      <c r="Q29" s="1" t="s">
        <v>71</v>
      </c>
      <c r="R29" s="9">
        <v>150</v>
      </c>
      <c r="S29" t="s">
        <v>208</v>
      </c>
      <c r="T29" t="s">
        <v>146</v>
      </c>
    </row>
    <row r="30" spans="1:20" x14ac:dyDescent="0.35">
      <c r="A30" s="1">
        <f t="shared" si="0"/>
        <v>28</v>
      </c>
      <c r="B30" s="1">
        <v>1</v>
      </c>
      <c r="C30" t="s">
        <v>89</v>
      </c>
      <c r="D30" t="s">
        <v>26</v>
      </c>
      <c r="E30" s="3">
        <v>45874</v>
      </c>
      <c r="F30" s="1" t="s">
        <v>85</v>
      </c>
      <c r="G30" s="1" cm="1">
        <f t="array" ref="G30">IFERROR(_xlfn.IFS(FACILITIES[[#This Row],[MÊS]]="JANEIRO",1,FACILITIES[[#This Row],[MÊS]]="FEVEREIRO",2,FACILITIES[[#This Row],[MÊS]]="MARÇO",3,FACILITIES[[#This Row],[MÊS]]="ABRIL",4,FACILITIES[[#This Row],[MÊS]]="MAIO",5,FACILITIES[[#This Row],[MÊS]]="JUNHO",6,FACILITIES[[#This Row],[MÊS]]="JULHO",7,FACILITIES[[#This Row],[MÊS]]="AGOSTO",8,FACILITIES[[#This Row],[MÊS]]="SETEMBRO",9,FACILITIES[[#This Row],[MÊS]]="OUTUBRO",10,FACILITIES[[#This Row],[MÊS]]="NOVEMBRO",11,FACILITIES[[#This Row],[MÊS]]="DEZEMBRO",12),"")</f>
        <v>8</v>
      </c>
      <c r="H30" s="1">
        <v>2025</v>
      </c>
      <c r="I30" t="s">
        <v>40</v>
      </c>
      <c r="J30" t="s">
        <v>64</v>
      </c>
      <c r="K30" t="s">
        <v>67</v>
      </c>
      <c r="L30" s="6">
        <v>45874</v>
      </c>
      <c r="M30" s="6">
        <v>45875</v>
      </c>
      <c r="N30" s="1" t="str">
        <f>IF(FACILITIES[[#This Row],[DATA FINALIZAÇÃO]]&lt;&gt;0,"Finalizado",IF(FACILITIES[[#This Row],[DATA INICIO]]&lt;&gt;0,"Em andamento","Pendente"))</f>
        <v>Finalizado</v>
      </c>
      <c r="O30" s="10">
        <f>IF(FACILITIES[[#This Row],[DATA FINALIZAÇÃO]]-FACILITIES[[#This Row],[DATA INICIO]]&lt;0,0,INT(FACILITIES[[#This Row],[DATA FINALIZAÇÃO]]-FACILITIES[[#This Row],[DATA INICIO]]))</f>
        <v>1</v>
      </c>
      <c r="P30" s="1" t="s">
        <v>70</v>
      </c>
      <c r="Q30" s="1" t="s">
        <v>71</v>
      </c>
      <c r="R30" s="9">
        <v>270</v>
      </c>
      <c r="S30" t="s">
        <v>175</v>
      </c>
      <c r="T30" t="s">
        <v>147</v>
      </c>
    </row>
    <row r="31" spans="1:20" x14ac:dyDescent="0.35">
      <c r="A31" s="1">
        <f t="shared" si="0"/>
        <v>29</v>
      </c>
      <c r="B31" s="1">
        <v>1</v>
      </c>
      <c r="C31" t="s">
        <v>89</v>
      </c>
      <c r="D31" t="s">
        <v>26</v>
      </c>
      <c r="E31" s="3">
        <v>45892</v>
      </c>
      <c r="F31" s="1" t="s">
        <v>85</v>
      </c>
      <c r="G31" s="1" cm="1">
        <f t="array" ref="G31">IFERROR(_xlfn.IFS(FACILITIES[[#This Row],[MÊS]]="JANEIRO",1,FACILITIES[[#This Row],[MÊS]]="FEVEREIRO",2,FACILITIES[[#This Row],[MÊS]]="MARÇO",3,FACILITIES[[#This Row],[MÊS]]="ABRIL",4,FACILITIES[[#This Row],[MÊS]]="MAIO",5,FACILITIES[[#This Row],[MÊS]]="JUNHO",6,FACILITIES[[#This Row],[MÊS]]="JULHO",7,FACILITIES[[#This Row],[MÊS]]="AGOSTO",8,FACILITIES[[#This Row],[MÊS]]="SETEMBRO",9,FACILITIES[[#This Row],[MÊS]]="OUTUBRO",10,FACILITIES[[#This Row],[MÊS]]="NOVEMBRO",11,FACILITIES[[#This Row],[MÊS]]="DEZEMBRO",12),"")</f>
        <v>8</v>
      </c>
      <c r="H31" s="1">
        <v>2025</v>
      </c>
      <c r="I31" t="s">
        <v>41</v>
      </c>
      <c r="J31" t="s">
        <v>64</v>
      </c>
      <c r="K31" t="s">
        <v>69</v>
      </c>
      <c r="L31" s="6">
        <v>45892</v>
      </c>
      <c r="M31" s="6">
        <v>45893</v>
      </c>
      <c r="N31" s="1" t="str">
        <f>IF(FACILITIES[[#This Row],[DATA FINALIZAÇÃO]]&lt;&gt;0,"Finalizado",IF(FACILITIES[[#This Row],[DATA INICIO]]&lt;&gt;0,"Em andamento","Pendente"))</f>
        <v>Finalizado</v>
      </c>
      <c r="O31" s="10">
        <f>IF(FACILITIES[[#This Row],[DATA FINALIZAÇÃO]]-FACILITIES[[#This Row],[DATA INICIO]]&lt;0,0,INT(FACILITIES[[#This Row],[DATA FINALIZAÇÃO]]-FACILITIES[[#This Row],[DATA INICIO]]))</f>
        <v>1</v>
      </c>
      <c r="P31" s="1" t="s">
        <v>70</v>
      </c>
      <c r="Q31" s="1" t="s">
        <v>71</v>
      </c>
      <c r="R31" s="9">
        <v>1E-3</v>
      </c>
      <c r="S31" t="s">
        <v>171</v>
      </c>
    </row>
    <row r="32" spans="1:20" x14ac:dyDescent="0.35">
      <c r="A32" s="1">
        <f t="shared" si="0"/>
        <v>30</v>
      </c>
      <c r="B32" s="1">
        <v>1</v>
      </c>
      <c r="C32" t="s">
        <v>89</v>
      </c>
      <c r="D32" t="s">
        <v>26</v>
      </c>
      <c r="E32" s="3">
        <v>45925</v>
      </c>
      <c r="F32" s="1" t="s">
        <v>75</v>
      </c>
      <c r="G32" s="1" cm="1">
        <f t="array" ref="G32">IFERROR(_xlfn.IFS(FACILITIES[[#This Row],[MÊS]]="JANEIRO",1,FACILITIES[[#This Row],[MÊS]]="FEVEREIRO",2,FACILITIES[[#This Row],[MÊS]]="MARÇO",3,FACILITIES[[#This Row],[MÊS]]="ABRIL",4,FACILITIES[[#This Row],[MÊS]]="MAIO",5,FACILITIES[[#This Row],[MÊS]]="JUNHO",6,FACILITIES[[#This Row],[MÊS]]="JULHO",7,FACILITIES[[#This Row],[MÊS]]="AGOSTO",8,FACILITIES[[#This Row],[MÊS]]="SETEMBRO",9,FACILITIES[[#This Row],[MÊS]]="OUTUBRO",10,FACILITIES[[#This Row],[MÊS]]="NOVEMBRO",11,FACILITIES[[#This Row],[MÊS]]="DEZEMBRO",12),"")</f>
        <v>9</v>
      </c>
      <c r="H32" s="1">
        <v>2025</v>
      </c>
      <c r="I32" t="s">
        <v>41</v>
      </c>
      <c r="J32" t="s">
        <v>64</v>
      </c>
      <c r="K32" t="s">
        <v>69</v>
      </c>
      <c r="L32" s="6">
        <v>45925</v>
      </c>
      <c r="M32" s="6">
        <v>45926</v>
      </c>
      <c r="N32" s="1" t="str">
        <f>IF(FACILITIES[[#This Row],[DATA FINALIZAÇÃO]]&lt;&gt;0,"Finalizado",IF(FACILITIES[[#This Row],[DATA INICIO]]&lt;&gt;0,"Em andamento","Pendente"))</f>
        <v>Finalizado</v>
      </c>
      <c r="O32" s="10">
        <f>IF(FACILITIES[[#This Row],[DATA FINALIZAÇÃO]]-FACILITIES[[#This Row],[DATA INICIO]]&lt;0,0,INT(FACILITIES[[#This Row],[DATA FINALIZAÇÃO]]-FACILITIES[[#This Row],[DATA INICIO]]))</f>
        <v>1</v>
      </c>
      <c r="P32" s="1" t="s">
        <v>70</v>
      </c>
      <c r="Q32" s="1" t="s">
        <v>71</v>
      </c>
      <c r="R32" s="9">
        <v>1E-3</v>
      </c>
      <c r="S32" t="s">
        <v>171</v>
      </c>
    </row>
    <row r="33" spans="1:20" x14ac:dyDescent="0.35">
      <c r="A33" s="1">
        <f t="shared" si="0"/>
        <v>31</v>
      </c>
      <c r="B33" s="1">
        <v>1</v>
      </c>
      <c r="C33" t="s">
        <v>89</v>
      </c>
      <c r="D33" t="s">
        <v>26</v>
      </c>
      <c r="E33" s="3">
        <v>45933</v>
      </c>
      <c r="F33" s="1" t="s">
        <v>77</v>
      </c>
      <c r="G33" s="1" cm="1">
        <f t="array" ref="G33">IFERROR(_xlfn.IFS(FACILITIES[[#This Row],[MÊS]]="JANEIRO",1,FACILITIES[[#This Row],[MÊS]]="FEVEREIRO",2,FACILITIES[[#This Row],[MÊS]]="MARÇO",3,FACILITIES[[#This Row],[MÊS]]="ABRIL",4,FACILITIES[[#This Row],[MÊS]]="MAIO",5,FACILITIES[[#This Row],[MÊS]]="JUNHO",6,FACILITIES[[#This Row],[MÊS]]="JULHO",7,FACILITIES[[#This Row],[MÊS]]="AGOSTO",8,FACILITIES[[#This Row],[MÊS]]="SETEMBRO",9,FACILITIES[[#This Row],[MÊS]]="OUTUBRO",10,FACILITIES[[#This Row],[MÊS]]="NOVEMBRO",11,FACILITIES[[#This Row],[MÊS]]="DEZEMBRO",12),"")</f>
        <v>10</v>
      </c>
      <c r="H33" s="1">
        <v>2025</v>
      </c>
      <c r="I33" t="s">
        <v>41</v>
      </c>
      <c r="J33" t="s">
        <v>64</v>
      </c>
      <c r="K33" t="s">
        <v>67</v>
      </c>
      <c r="L33" s="6">
        <v>45933</v>
      </c>
      <c r="M33" s="6">
        <v>45933</v>
      </c>
      <c r="N33" s="1" t="str">
        <f>IF(FACILITIES[[#This Row],[DATA FINALIZAÇÃO]]&lt;&gt;0,"Finalizado",IF(FACILITIES[[#This Row],[DATA INICIO]]&lt;&gt;0,"Em andamento","Pendente"))</f>
        <v>Finalizado</v>
      </c>
      <c r="O33" s="10">
        <f>IF(FACILITIES[[#This Row],[DATA FINALIZAÇÃO]]-FACILITIES[[#This Row],[DATA INICIO]]&lt;0,0,INT(FACILITIES[[#This Row],[DATA FINALIZAÇÃO]]-FACILITIES[[#This Row],[DATA INICIO]]))</f>
        <v>0</v>
      </c>
      <c r="P33" s="1" t="s">
        <v>70</v>
      </c>
      <c r="Q33" s="1" t="s">
        <v>71</v>
      </c>
      <c r="R33" s="9">
        <v>950</v>
      </c>
      <c r="S33" t="s">
        <v>193</v>
      </c>
      <c r="T33" t="s">
        <v>194</v>
      </c>
    </row>
    <row r="34" spans="1:20" x14ac:dyDescent="0.35">
      <c r="A34" s="1">
        <f t="shared" si="0"/>
        <v>32</v>
      </c>
      <c r="B34" s="1">
        <v>1</v>
      </c>
      <c r="C34" t="s">
        <v>89</v>
      </c>
      <c r="D34" t="s">
        <v>26</v>
      </c>
      <c r="E34" s="3">
        <v>45953</v>
      </c>
      <c r="F34" s="1" t="s">
        <v>77</v>
      </c>
      <c r="G34" s="1" cm="1">
        <f t="array" ref="G34">IFERROR(_xlfn.IFS(FACILITIES[[#This Row],[MÊS]]="JANEIRO",1,FACILITIES[[#This Row],[MÊS]]="FEVEREIRO",2,FACILITIES[[#This Row],[MÊS]]="MARÇO",3,FACILITIES[[#This Row],[MÊS]]="ABRIL",4,FACILITIES[[#This Row],[MÊS]]="MAIO",5,FACILITIES[[#This Row],[MÊS]]="JUNHO",6,FACILITIES[[#This Row],[MÊS]]="JULHO",7,FACILITIES[[#This Row],[MÊS]]="AGOSTO",8,FACILITIES[[#This Row],[MÊS]]="SETEMBRO",9,FACILITIES[[#This Row],[MÊS]]="OUTUBRO",10,FACILITIES[[#This Row],[MÊS]]="NOVEMBRO",11,FACILITIES[[#This Row],[MÊS]]="DEZEMBRO",12),"")</f>
        <v>10</v>
      </c>
      <c r="H34" s="1">
        <v>2025</v>
      </c>
      <c r="I34" t="s">
        <v>41</v>
      </c>
      <c r="J34" t="s">
        <v>64</v>
      </c>
      <c r="K34" t="s">
        <v>69</v>
      </c>
      <c r="L34" s="6">
        <v>45952</v>
      </c>
      <c r="M34" s="6">
        <v>45953</v>
      </c>
      <c r="N34" s="1" t="str">
        <f>IF(FACILITIES[[#This Row],[DATA FINALIZAÇÃO]]&lt;&gt;0,"Finalizado",IF(FACILITIES[[#This Row],[DATA INICIO]]&lt;&gt;0,"Em andamento","Pendente"))</f>
        <v>Finalizado</v>
      </c>
      <c r="O34" s="10">
        <f>IF(FACILITIES[[#This Row],[DATA FINALIZAÇÃO]]-FACILITIES[[#This Row],[DATA INICIO]]&lt;0,0,INT(FACILITIES[[#This Row],[DATA FINALIZAÇÃO]]-FACILITIES[[#This Row],[DATA INICIO]]))</f>
        <v>1</v>
      </c>
      <c r="R34" s="9">
        <v>1E-3</v>
      </c>
      <c r="S34" t="s">
        <v>171</v>
      </c>
    </row>
    <row r="35" spans="1:20" x14ac:dyDescent="0.35">
      <c r="A35" s="1">
        <f t="shared" si="0"/>
        <v>33</v>
      </c>
      <c r="B35" s="1">
        <v>1</v>
      </c>
      <c r="C35" t="s">
        <v>89</v>
      </c>
      <c r="D35" t="s">
        <v>26</v>
      </c>
      <c r="E35" s="3">
        <v>45981</v>
      </c>
      <c r="F35" s="1" t="s">
        <v>86</v>
      </c>
      <c r="G35" s="1" cm="1">
        <f t="array" ref="G35">IFERROR(_xlfn.IFS(FACILITIES[[#This Row],[MÊS]]="JANEIRO",1,FACILITIES[[#This Row],[MÊS]]="FEVEREIRO",2,FACILITIES[[#This Row],[MÊS]]="MARÇO",3,FACILITIES[[#This Row],[MÊS]]="ABRIL",4,FACILITIES[[#This Row],[MÊS]]="MAIO",5,FACILITIES[[#This Row],[MÊS]]="JUNHO",6,FACILITIES[[#This Row],[MÊS]]="JULHO",7,FACILITIES[[#This Row],[MÊS]]="AGOSTO",8,FACILITIES[[#This Row],[MÊS]]="SETEMBRO",9,FACILITIES[[#This Row],[MÊS]]="OUTUBRO",10,FACILITIES[[#This Row],[MÊS]]="NOVEMBRO",11,FACILITIES[[#This Row],[MÊS]]="DEZEMBRO",12),"")</f>
        <v>11</v>
      </c>
      <c r="H35" s="1">
        <v>2025</v>
      </c>
      <c r="I35" t="s">
        <v>41</v>
      </c>
      <c r="J35" t="s">
        <v>64</v>
      </c>
      <c r="K35" t="s">
        <v>69</v>
      </c>
      <c r="L35" s="6">
        <v>45978</v>
      </c>
      <c r="M35" s="6">
        <v>45978</v>
      </c>
      <c r="N35" s="1" t="str">
        <f>IF(FACILITIES[[#This Row],[DATA FINALIZAÇÃO]]&lt;&gt;0,"Finalizado",IF(FACILITIES[[#This Row],[DATA INICIO]]&lt;&gt;0,"Em andamento","Pendente"))</f>
        <v>Finalizado</v>
      </c>
      <c r="O35" s="10">
        <f>IF(FACILITIES[[#This Row],[DATA FINALIZAÇÃO]]-FACILITIES[[#This Row],[DATA INICIO]]&lt;0,0,INT(FACILITIES[[#This Row],[DATA FINALIZAÇÃO]]-FACILITIES[[#This Row],[DATA INICIO]]))</f>
        <v>0</v>
      </c>
      <c r="P35" s="1" t="s">
        <v>70</v>
      </c>
      <c r="Q35" s="1" t="s">
        <v>102</v>
      </c>
      <c r="R35" s="9">
        <v>1E-3</v>
      </c>
      <c r="S35" t="s">
        <v>171</v>
      </c>
    </row>
    <row r="36" spans="1:20" x14ac:dyDescent="0.35">
      <c r="A36" s="1">
        <f t="shared" si="0"/>
        <v>34</v>
      </c>
      <c r="B36" s="1">
        <v>1</v>
      </c>
      <c r="C36" t="s">
        <v>89</v>
      </c>
      <c r="D36" t="s">
        <v>26</v>
      </c>
      <c r="E36" s="3">
        <v>46009</v>
      </c>
      <c r="F36" s="1" t="s">
        <v>79</v>
      </c>
      <c r="G36" s="1" cm="1">
        <f t="array" ref="G36">IFERROR(_xlfn.IFS(FACILITIES[[#This Row],[MÊS]]="JANEIRO",1,FACILITIES[[#This Row],[MÊS]]="FEVEREIRO",2,FACILITIES[[#This Row],[MÊS]]="MARÇO",3,FACILITIES[[#This Row],[MÊS]]="ABRIL",4,FACILITIES[[#This Row],[MÊS]]="MAIO",5,FACILITIES[[#This Row],[MÊS]]="JUNHO",6,FACILITIES[[#This Row],[MÊS]]="JULHO",7,FACILITIES[[#This Row],[MÊS]]="AGOSTO",8,FACILITIES[[#This Row],[MÊS]]="SETEMBRO",9,FACILITIES[[#This Row],[MÊS]]="OUTUBRO",10,FACILITIES[[#This Row],[MÊS]]="NOVEMBRO",11,FACILITIES[[#This Row],[MÊS]]="DEZEMBRO",12),"")</f>
        <v>1</v>
      </c>
      <c r="H36" s="1">
        <v>2025</v>
      </c>
      <c r="I36" t="s">
        <v>41</v>
      </c>
      <c r="J36" t="s">
        <v>64</v>
      </c>
      <c r="K36" t="s">
        <v>69</v>
      </c>
      <c r="L36" s="6">
        <v>46000</v>
      </c>
      <c r="M36" s="6">
        <v>46000</v>
      </c>
      <c r="N36" s="1" t="str">
        <f>IF(FACILITIES[[#This Row],[DATA FINALIZAÇÃO]]&lt;&gt;0,"Finalizado",IF(FACILITIES[[#This Row],[DATA INICIO]]&lt;&gt;0,"Em andamento","Pendente"))</f>
        <v>Finalizado</v>
      </c>
      <c r="O36" s="10">
        <f>IF(FACILITIES[[#This Row],[DATA FINALIZAÇÃO]]-FACILITIES[[#This Row],[DATA INICIO]]&lt;0,0,INT(FACILITIES[[#This Row],[DATA FINALIZAÇÃO]]-FACILITIES[[#This Row],[DATA INICIO]]))</f>
        <v>0</v>
      </c>
      <c r="P36" s="1" t="s">
        <v>70</v>
      </c>
      <c r="Q36" s="1" t="s">
        <v>102</v>
      </c>
      <c r="R36" s="9">
        <v>1E-3</v>
      </c>
      <c r="S36" t="s">
        <v>171</v>
      </c>
    </row>
    <row r="37" spans="1:20" x14ac:dyDescent="0.35">
      <c r="A37" s="1">
        <f t="shared" si="0"/>
        <v>35</v>
      </c>
      <c r="B37" s="1">
        <v>1</v>
      </c>
      <c r="C37" t="s">
        <v>89</v>
      </c>
      <c r="D37" t="s">
        <v>26</v>
      </c>
      <c r="E37" s="3">
        <v>45929</v>
      </c>
      <c r="F37" s="1" t="s">
        <v>75</v>
      </c>
      <c r="G37" s="1" cm="1">
        <f t="array" ref="G37">IFERROR(_xlfn.IFS(FACILITIES[[#This Row],[MÊS]]="JANEIRO",1,FACILITIES[[#This Row],[MÊS]]="FEVEREIRO",2,FACILITIES[[#This Row],[MÊS]]="MARÇO",3,FACILITIES[[#This Row],[MÊS]]="ABRIL",4,FACILITIES[[#This Row],[MÊS]]="MAIO",5,FACILITIES[[#This Row],[MÊS]]="JUNHO",6,FACILITIES[[#This Row],[MÊS]]="JULHO",7,FACILITIES[[#This Row],[MÊS]]="AGOSTO",8,FACILITIES[[#This Row],[MÊS]]="SETEMBRO",9,FACILITIES[[#This Row],[MÊS]]="OUTUBRO",10,FACILITIES[[#This Row],[MÊS]]="NOVEMBRO",11,FACILITIES[[#This Row],[MÊS]]="DEZEMBRO",12),"")</f>
        <v>9</v>
      </c>
      <c r="H37" s="1">
        <v>2025</v>
      </c>
      <c r="I37" t="s">
        <v>60</v>
      </c>
      <c r="J37" t="s">
        <v>64</v>
      </c>
      <c r="K37" t="s">
        <v>69</v>
      </c>
      <c r="L37" s="6">
        <v>45937</v>
      </c>
      <c r="M37" s="6">
        <v>45937</v>
      </c>
      <c r="N37" s="1" t="str">
        <f>IF(FACILITIES[[#This Row],[DATA FINALIZAÇÃO]]&lt;&gt;0,"Finalizado",IF(FACILITIES[[#This Row],[DATA INICIO]]&lt;&gt;0,"Em andamento","Pendente"))</f>
        <v>Finalizado</v>
      </c>
      <c r="O37" s="10">
        <f>IF(FACILITIES[[#This Row],[DATA FINALIZAÇÃO]]-FACILITIES[[#This Row],[DATA INICIO]]&lt;0,0,INT(FACILITIES[[#This Row],[DATA FINALIZAÇÃO]]-FACILITIES[[#This Row],[DATA INICIO]]))</f>
        <v>0</v>
      </c>
      <c r="P37" s="1" t="s">
        <v>70</v>
      </c>
      <c r="Q37" s="1" t="s">
        <v>70</v>
      </c>
      <c r="R37" s="9">
        <v>756</v>
      </c>
      <c r="S37" t="s">
        <v>159</v>
      </c>
      <c r="T37" t="s">
        <v>93</v>
      </c>
    </row>
    <row r="38" spans="1:20" x14ac:dyDescent="0.35">
      <c r="A38" s="1">
        <f t="shared" si="0"/>
        <v>36</v>
      </c>
      <c r="B38" s="1">
        <v>1</v>
      </c>
      <c r="C38" t="s">
        <v>89</v>
      </c>
      <c r="D38" t="s">
        <v>26</v>
      </c>
      <c r="E38" s="3">
        <v>45918</v>
      </c>
      <c r="F38" s="1" t="s">
        <v>75</v>
      </c>
      <c r="G38" s="1" cm="1">
        <f t="array" ref="G38">IFERROR(_xlfn.IFS(FACILITIES[[#This Row],[MÊS]]="JANEIRO",1,FACILITIES[[#This Row],[MÊS]]="FEVEREIRO",2,FACILITIES[[#This Row],[MÊS]]="MARÇO",3,FACILITIES[[#This Row],[MÊS]]="ABRIL",4,FACILITIES[[#This Row],[MÊS]]="MAIO",5,FACILITIES[[#This Row],[MÊS]]="JUNHO",6,FACILITIES[[#This Row],[MÊS]]="JULHO",7,FACILITIES[[#This Row],[MÊS]]="AGOSTO",8,FACILITIES[[#This Row],[MÊS]]="SETEMBRO",9,FACILITIES[[#This Row],[MÊS]]="OUTUBRO",10,FACILITIES[[#This Row],[MÊS]]="NOVEMBRO",11,FACILITIES[[#This Row],[MÊS]]="DEZEMBRO",12),"")</f>
        <v>9</v>
      </c>
      <c r="H38" s="1">
        <v>2025</v>
      </c>
      <c r="I38" t="s">
        <v>63</v>
      </c>
      <c r="J38" t="s">
        <v>64</v>
      </c>
      <c r="K38" t="s">
        <v>67</v>
      </c>
      <c r="N38" s="1" t="str">
        <f>IF(FACILITIES[[#This Row],[DATA FINALIZAÇÃO]]&lt;&gt;0,"Finalizado",IF(FACILITIES[[#This Row],[DATA INICIO]]&lt;&gt;0,"Em andamento","Pendente"))</f>
        <v>Pendente</v>
      </c>
      <c r="O38" s="10">
        <f>IF(FACILITIES[[#This Row],[DATA FINALIZAÇÃO]]-FACILITIES[[#This Row],[DATA INICIO]]&lt;0,0,INT(FACILITIES[[#This Row],[DATA FINALIZAÇÃO]]-FACILITIES[[#This Row],[DATA INICIO]]))</f>
        <v>0</v>
      </c>
      <c r="P38" s="1" t="s">
        <v>71</v>
      </c>
      <c r="Q38" s="1" t="s">
        <v>71</v>
      </c>
      <c r="R38" s="9">
        <v>1E-3</v>
      </c>
      <c r="T38" t="s">
        <v>95</v>
      </c>
    </row>
    <row r="39" spans="1:20" x14ac:dyDescent="0.35">
      <c r="A39" s="1">
        <f t="shared" si="0"/>
        <v>37</v>
      </c>
      <c r="B39" s="1">
        <v>1</v>
      </c>
      <c r="C39" t="s">
        <v>88</v>
      </c>
      <c r="D39" t="s">
        <v>12</v>
      </c>
      <c r="E39" s="3">
        <v>45933</v>
      </c>
      <c r="F39" s="1" t="s">
        <v>77</v>
      </c>
      <c r="G39" s="1" cm="1">
        <f t="array" ref="G39">IFERROR(_xlfn.IFS(FACILITIES[[#This Row],[MÊS]]="JANEIRO",1,FACILITIES[[#This Row],[MÊS]]="FEVEREIRO",2,FACILITIES[[#This Row],[MÊS]]="MARÇO",3,FACILITIES[[#This Row],[MÊS]]="ABRIL",4,FACILITIES[[#This Row],[MÊS]]="MAIO",5,FACILITIES[[#This Row],[MÊS]]="JUNHO",6,FACILITIES[[#This Row],[MÊS]]="JULHO",7,FACILITIES[[#This Row],[MÊS]]="AGOSTO",8,FACILITIES[[#This Row],[MÊS]]="SETEMBRO",9,FACILITIES[[#This Row],[MÊS]]="OUTUBRO",10,FACILITIES[[#This Row],[MÊS]]="NOVEMBRO",11,FACILITIES[[#This Row],[MÊS]]="DEZEMBRO",12),"")</f>
        <v>10</v>
      </c>
      <c r="H39" s="1">
        <v>2025</v>
      </c>
      <c r="I39" t="s">
        <v>41</v>
      </c>
      <c r="J39" t="s">
        <v>64</v>
      </c>
      <c r="K39" t="s">
        <v>67</v>
      </c>
      <c r="L39" s="6">
        <v>45933</v>
      </c>
      <c r="M39" s="6">
        <v>45933</v>
      </c>
      <c r="N39" s="1" t="str">
        <f>IF(FACILITIES[[#This Row],[DATA FINALIZAÇÃO]]&lt;&gt;0,"Finalizado",IF(FACILITIES[[#This Row],[DATA INICIO]]&lt;&gt;0,"Em andamento","Pendente"))</f>
        <v>Finalizado</v>
      </c>
      <c r="O39" s="10">
        <f>IF(FACILITIES[[#This Row],[DATA FINALIZAÇÃO]]-FACILITIES[[#This Row],[DATA INICIO]]&lt;0,0,INT(FACILITIES[[#This Row],[DATA FINALIZAÇÃO]]-FACILITIES[[#This Row],[DATA INICIO]]))</f>
        <v>0</v>
      </c>
      <c r="P39" s="1" t="s">
        <v>70</v>
      </c>
      <c r="Q39" s="1" t="s">
        <v>71</v>
      </c>
      <c r="R39" s="9">
        <v>1E-3</v>
      </c>
      <c r="S39" t="s">
        <v>195</v>
      </c>
      <c r="T39" t="s">
        <v>94</v>
      </c>
    </row>
    <row r="40" spans="1:20" x14ac:dyDescent="0.35">
      <c r="A40" s="1">
        <f t="shared" si="0"/>
        <v>38</v>
      </c>
      <c r="B40" s="1">
        <v>1</v>
      </c>
      <c r="C40" t="s">
        <v>96</v>
      </c>
      <c r="D40" t="s">
        <v>26</v>
      </c>
      <c r="E40" s="3">
        <v>45952</v>
      </c>
      <c r="F40" s="1" t="s">
        <v>77</v>
      </c>
      <c r="G40" s="1" cm="1">
        <f t="array" ref="G40">IFERROR(_xlfn.IFS(FACILITIES[[#This Row],[MÊS]]="JANEIRO",1,FACILITIES[[#This Row],[MÊS]]="FEVEREIRO",2,FACILITIES[[#This Row],[MÊS]]="MARÇO",3,FACILITIES[[#This Row],[MÊS]]="ABRIL",4,FACILITIES[[#This Row],[MÊS]]="MAIO",5,FACILITIES[[#This Row],[MÊS]]="JUNHO",6,FACILITIES[[#This Row],[MÊS]]="JULHO",7,FACILITIES[[#This Row],[MÊS]]="AGOSTO",8,FACILITIES[[#This Row],[MÊS]]="SETEMBRO",9,FACILITIES[[#This Row],[MÊS]]="OUTUBRO",10,FACILITIES[[#This Row],[MÊS]]="NOVEMBRO",11,FACILITIES[[#This Row],[MÊS]]="DEZEMBRO",12),"")</f>
        <v>10</v>
      </c>
      <c r="H40" s="1">
        <v>2025</v>
      </c>
      <c r="I40" t="s">
        <v>60</v>
      </c>
      <c r="J40" t="s">
        <v>64</v>
      </c>
      <c r="K40" t="s">
        <v>67</v>
      </c>
      <c r="L40" s="6">
        <v>45953</v>
      </c>
      <c r="M40" s="6">
        <v>45974</v>
      </c>
      <c r="N40" s="1" t="str">
        <f>IF(FACILITIES[[#This Row],[DATA FINALIZAÇÃO]]&lt;&gt;0,"Finalizado",IF(FACILITIES[[#This Row],[DATA INICIO]]&lt;&gt;0,"Em andamento","Pendente"))</f>
        <v>Finalizado</v>
      </c>
      <c r="O40" s="10">
        <f>IF(FACILITIES[[#This Row],[DATA FINALIZAÇÃO]]-FACILITIES[[#This Row],[DATA INICIO]]&lt;0,0,INT(FACILITIES[[#This Row],[DATA FINALIZAÇÃO]]-FACILITIES[[#This Row],[DATA INICIO]]))</f>
        <v>21</v>
      </c>
      <c r="P40" s="1" t="s">
        <v>70</v>
      </c>
      <c r="Q40" s="1" t="s">
        <v>71</v>
      </c>
      <c r="R40" s="9">
        <v>1E-3</v>
      </c>
      <c r="S40" t="s">
        <v>159</v>
      </c>
      <c r="T40" t="s">
        <v>104</v>
      </c>
    </row>
    <row r="41" spans="1:20" x14ac:dyDescent="0.35">
      <c r="A41" s="1">
        <f t="shared" si="0"/>
        <v>39</v>
      </c>
      <c r="B41" s="1">
        <v>1</v>
      </c>
      <c r="C41" t="s">
        <v>97</v>
      </c>
      <c r="D41" t="s">
        <v>21</v>
      </c>
      <c r="E41" s="3">
        <v>45958</v>
      </c>
      <c r="F41" s="1" t="s">
        <v>77</v>
      </c>
      <c r="G41" s="1" cm="1">
        <f t="array" ref="G41">IFERROR(_xlfn.IFS(FACILITIES[[#This Row],[MÊS]]="JANEIRO",1,FACILITIES[[#This Row],[MÊS]]="FEVEREIRO",2,FACILITIES[[#This Row],[MÊS]]="MARÇO",3,FACILITIES[[#This Row],[MÊS]]="ABRIL",4,FACILITIES[[#This Row],[MÊS]]="MAIO",5,FACILITIES[[#This Row],[MÊS]]="JUNHO",6,FACILITIES[[#This Row],[MÊS]]="JULHO",7,FACILITIES[[#This Row],[MÊS]]="AGOSTO",8,FACILITIES[[#This Row],[MÊS]]="SETEMBRO",9,FACILITIES[[#This Row],[MÊS]]="OUTUBRO",10,FACILITIES[[#This Row],[MÊS]]="NOVEMBRO",11,FACILITIES[[#This Row],[MÊS]]="DEZEMBRO",12),"")</f>
        <v>10</v>
      </c>
      <c r="H41" s="1">
        <v>2025</v>
      </c>
      <c r="I41" t="s">
        <v>100</v>
      </c>
      <c r="J41" t="s">
        <v>64</v>
      </c>
      <c r="K41" t="s">
        <v>67</v>
      </c>
      <c r="N41" s="1" t="str">
        <f>IF(FACILITIES[[#This Row],[DATA FINALIZAÇÃO]]&lt;&gt;0,"Finalizado",IF(FACILITIES[[#This Row],[DATA INICIO]]&lt;&gt;0,"Em andamento","Pendente"))</f>
        <v>Pendente</v>
      </c>
      <c r="O41" s="10">
        <f>IF(FACILITIES[[#This Row],[DATA FINALIZAÇÃO]]-FACILITIES[[#This Row],[DATA INICIO]]&lt;0,0,INT(FACILITIES[[#This Row],[DATA FINALIZAÇÃO]]-FACILITIES[[#This Row],[DATA INICIO]]))</f>
        <v>0</v>
      </c>
      <c r="P41" s="1" t="s">
        <v>71</v>
      </c>
      <c r="Q41" s="1" t="s">
        <v>70</v>
      </c>
      <c r="R41" s="9">
        <v>1E-3</v>
      </c>
      <c r="S41" t="s">
        <v>100</v>
      </c>
      <c r="T41" t="s">
        <v>112</v>
      </c>
    </row>
    <row r="42" spans="1:20" x14ac:dyDescent="0.35">
      <c r="A42" s="1">
        <f t="shared" si="0"/>
        <v>40</v>
      </c>
      <c r="B42" s="1">
        <v>1</v>
      </c>
      <c r="C42" t="s">
        <v>98</v>
      </c>
      <c r="D42" t="s">
        <v>26</v>
      </c>
      <c r="E42" s="3">
        <v>45972</v>
      </c>
      <c r="F42" s="1" t="s">
        <v>86</v>
      </c>
      <c r="G42" s="1" cm="1">
        <f t="array" ref="G42">IFERROR(_xlfn.IFS(FACILITIES[[#This Row],[MÊS]]="JANEIRO",1,FACILITIES[[#This Row],[MÊS]]="FEVEREIRO",2,FACILITIES[[#This Row],[MÊS]]="MARÇO",3,FACILITIES[[#This Row],[MÊS]]="ABRIL",4,FACILITIES[[#This Row],[MÊS]]="MAIO",5,FACILITIES[[#This Row],[MÊS]]="JUNHO",6,FACILITIES[[#This Row],[MÊS]]="JULHO",7,FACILITIES[[#This Row],[MÊS]]="AGOSTO",8,FACILITIES[[#This Row],[MÊS]]="SETEMBRO",9,FACILITIES[[#This Row],[MÊS]]="OUTUBRO",10,FACILITIES[[#This Row],[MÊS]]="NOVEMBRO",11,FACILITIES[[#This Row],[MÊS]]="DEZEMBRO",12),"")</f>
        <v>11</v>
      </c>
      <c r="H42" s="1">
        <v>2025</v>
      </c>
      <c r="I42" t="s">
        <v>40</v>
      </c>
      <c r="J42" t="s">
        <v>64</v>
      </c>
      <c r="K42" t="s">
        <v>68</v>
      </c>
      <c r="L42" s="6">
        <v>45972</v>
      </c>
      <c r="M42" s="6">
        <v>45972</v>
      </c>
      <c r="N42" s="1" t="str">
        <f>IF(FACILITIES[[#This Row],[DATA FINALIZAÇÃO]]&lt;&gt;0,"Finalizado",IF(FACILITIES[[#This Row],[DATA INICIO]]&lt;&gt;0,"Em andamento","Pendente"))</f>
        <v>Finalizado</v>
      </c>
      <c r="O42" s="10">
        <f>IF(FACILITIES[[#This Row],[DATA FINALIZAÇÃO]]-FACILITIES[[#This Row],[DATA INICIO]]&lt;0,0,INT(FACILITIES[[#This Row],[DATA FINALIZAÇÃO]]-FACILITIES[[#This Row],[DATA INICIO]]))</f>
        <v>0</v>
      </c>
      <c r="P42" s="1" t="s">
        <v>70</v>
      </c>
      <c r="Q42" s="1" t="s">
        <v>71</v>
      </c>
      <c r="R42" s="9">
        <v>2160</v>
      </c>
      <c r="S42" t="s">
        <v>210</v>
      </c>
      <c r="T42" t="s">
        <v>103</v>
      </c>
    </row>
    <row r="43" spans="1:20" x14ac:dyDescent="0.35">
      <c r="A43" s="1">
        <f t="shared" si="0"/>
        <v>41</v>
      </c>
      <c r="B43" s="1">
        <v>1</v>
      </c>
      <c r="C43" t="s">
        <v>89</v>
      </c>
      <c r="D43" t="s">
        <v>26</v>
      </c>
      <c r="E43" s="3">
        <v>45957</v>
      </c>
      <c r="F43" s="1" t="s">
        <v>77</v>
      </c>
      <c r="G43" s="1" cm="1">
        <f t="array" ref="G43">IFERROR(_xlfn.IFS(FACILITIES[[#This Row],[MÊS]]="JANEIRO",1,FACILITIES[[#This Row],[MÊS]]="FEVEREIRO",2,FACILITIES[[#This Row],[MÊS]]="MARÇO",3,FACILITIES[[#This Row],[MÊS]]="ABRIL",4,FACILITIES[[#This Row],[MÊS]]="MAIO",5,FACILITIES[[#This Row],[MÊS]]="JUNHO",6,FACILITIES[[#This Row],[MÊS]]="JULHO",7,FACILITIES[[#This Row],[MÊS]]="AGOSTO",8,FACILITIES[[#This Row],[MÊS]]="SETEMBRO",9,FACILITIES[[#This Row],[MÊS]]="OUTUBRO",10,FACILITIES[[#This Row],[MÊS]]="NOVEMBRO",11,FACILITIES[[#This Row],[MÊS]]="DEZEMBRO",12),"")</f>
        <v>10</v>
      </c>
      <c r="H43" s="1">
        <v>2025</v>
      </c>
      <c r="I43" t="s">
        <v>47</v>
      </c>
      <c r="J43" t="s">
        <v>64</v>
      </c>
      <c r="K43" t="s">
        <v>69</v>
      </c>
      <c r="L43" s="6">
        <v>45964</v>
      </c>
      <c r="M43" s="6">
        <v>45967</v>
      </c>
      <c r="N43" s="1" t="str">
        <f>IF(FACILITIES[[#This Row],[DATA FINALIZAÇÃO]]&lt;&gt;0,"Finalizado",IF(FACILITIES[[#This Row],[DATA INICIO]]&lt;&gt;0,"Em andamento","Pendente"))</f>
        <v>Finalizado</v>
      </c>
      <c r="O43" s="10">
        <f>IF(FACILITIES[[#This Row],[DATA FINALIZAÇÃO]]-FACILITIES[[#This Row],[DATA INICIO]]&lt;0,0,INT(FACILITIES[[#This Row],[DATA FINALIZAÇÃO]]-FACILITIES[[#This Row],[DATA INICIO]]))</f>
        <v>3</v>
      </c>
      <c r="P43" s="1" t="s">
        <v>70</v>
      </c>
      <c r="R43" s="9">
        <v>7100</v>
      </c>
      <c r="S43" t="s">
        <v>178</v>
      </c>
      <c r="T43" t="s">
        <v>101</v>
      </c>
    </row>
    <row r="44" spans="1:20" x14ac:dyDescent="0.35">
      <c r="A44" s="1">
        <f t="shared" si="0"/>
        <v>42</v>
      </c>
      <c r="B44" s="1">
        <v>1</v>
      </c>
      <c r="C44" t="s">
        <v>98</v>
      </c>
      <c r="D44" t="s">
        <v>26</v>
      </c>
      <c r="E44" s="3">
        <v>45975</v>
      </c>
      <c r="F44" s="1" t="s">
        <v>86</v>
      </c>
      <c r="G44" s="1" cm="1">
        <f t="array" ref="G44">IFERROR(_xlfn.IFS(FACILITIES[[#This Row],[MÊS]]="JANEIRO",1,FACILITIES[[#This Row],[MÊS]]="FEVEREIRO",2,FACILITIES[[#This Row],[MÊS]]="MARÇO",3,FACILITIES[[#This Row],[MÊS]]="ABRIL",4,FACILITIES[[#This Row],[MÊS]]="MAIO",5,FACILITIES[[#This Row],[MÊS]]="JUNHO",6,FACILITIES[[#This Row],[MÊS]]="JULHO",7,FACILITIES[[#This Row],[MÊS]]="AGOSTO",8,FACILITIES[[#This Row],[MÊS]]="SETEMBRO",9,FACILITIES[[#This Row],[MÊS]]="OUTUBRO",10,FACILITIES[[#This Row],[MÊS]]="NOVEMBRO",11,FACILITIES[[#This Row],[MÊS]]="DEZEMBRO",12),"")</f>
        <v>11</v>
      </c>
      <c r="H44" s="1">
        <v>2025</v>
      </c>
      <c r="I44" t="s">
        <v>60</v>
      </c>
      <c r="J44" t="s">
        <v>64</v>
      </c>
      <c r="K44" t="s">
        <v>67</v>
      </c>
      <c r="L44" s="6">
        <v>45974</v>
      </c>
      <c r="M44" s="6">
        <v>45968</v>
      </c>
      <c r="N44" s="1" t="str">
        <f>IF(FACILITIES[[#This Row],[DATA FINALIZAÇÃO]]&lt;&gt;0,"Finalizado",IF(FACILITIES[[#This Row],[DATA INICIO]]&lt;&gt;0,"Em andamento","Pendente"))</f>
        <v>Finalizado</v>
      </c>
      <c r="O44" s="10">
        <f>IF(FACILITIES[[#This Row],[DATA FINALIZAÇÃO]]-FACILITIES[[#This Row],[DATA INICIO]]&lt;0,0,INT(FACILITIES[[#This Row],[DATA FINALIZAÇÃO]]-FACILITIES[[#This Row],[DATA INICIO]]))</f>
        <v>0</v>
      </c>
      <c r="P44" s="1" t="s">
        <v>70</v>
      </c>
      <c r="Q44" s="1" t="s">
        <v>71</v>
      </c>
      <c r="R44" s="9">
        <v>40</v>
      </c>
      <c r="S44" t="s">
        <v>159</v>
      </c>
      <c r="T44" t="s">
        <v>105</v>
      </c>
    </row>
    <row r="45" spans="1:20" x14ac:dyDescent="0.35">
      <c r="A45" s="1">
        <f t="shared" si="0"/>
        <v>43</v>
      </c>
      <c r="B45" s="1">
        <v>1</v>
      </c>
      <c r="C45" t="s">
        <v>98</v>
      </c>
      <c r="D45" t="s">
        <v>26</v>
      </c>
      <c r="E45" s="3">
        <v>45979</v>
      </c>
      <c r="F45" s="1" t="s">
        <v>86</v>
      </c>
      <c r="G45" s="1" cm="1">
        <f t="array" ref="G45">IFERROR(_xlfn.IFS(FACILITIES[[#This Row],[MÊS]]="JANEIRO",1,FACILITIES[[#This Row],[MÊS]]="FEVEREIRO",2,FACILITIES[[#This Row],[MÊS]]="MARÇO",3,FACILITIES[[#This Row],[MÊS]]="ABRIL",4,FACILITIES[[#This Row],[MÊS]]="MAIO",5,FACILITIES[[#This Row],[MÊS]]="JUNHO",6,FACILITIES[[#This Row],[MÊS]]="JULHO",7,FACILITIES[[#This Row],[MÊS]]="AGOSTO",8,FACILITIES[[#This Row],[MÊS]]="SETEMBRO",9,FACILITIES[[#This Row],[MÊS]]="OUTUBRO",10,FACILITIES[[#This Row],[MÊS]]="NOVEMBRO",11,FACILITIES[[#This Row],[MÊS]]="DEZEMBRO",12),"")</f>
        <v>11</v>
      </c>
      <c r="H45" s="1">
        <v>2025</v>
      </c>
      <c r="I45" t="s">
        <v>40</v>
      </c>
      <c r="J45" t="s">
        <v>64</v>
      </c>
      <c r="K45" t="s">
        <v>67</v>
      </c>
      <c r="L45" s="6">
        <v>45979</v>
      </c>
      <c r="M45" s="6">
        <v>45979</v>
      </c>
      <c r="N45" s="1" t="str">
        <f>IF(FACILITIES[[#This Row],[DATA FINALIZAÇÃO]]&lt;&gt;0,"Finalizado",IF(FACILITIES[[#This Row],[DATA INICIO]]&lt;&gt;0,"Em andamento","Pendente"))</f>
        <v>Finalizado</v>
      </c>
      <c r="O45" s="10">
        <f>IF(FACILITIES[[#This Row],[DATA FINALIZAÇÃO]]-FACILITIES[[#This Row],[DATA INICIO]]&lt;0,0,INT(FACILITIES[[#This Row],[DATA FINALIZAÇÃO]]-FACILITIES[[#This Row],[DATA INICIO]]))</f>
        <v>0</v>
      </c>
      <c r="P45" s="1" t="s">
        <v>71</v>
      </c>
      <c r="Q45" s="1" t="s">
        <v>71</v>
      </c>
      <c r="R45" s="9">
        <v>1E-3</v>
      </c>
      <c r="T45" t="s">
        <v>106</v>
      </c>
    </row>
    <row r="46" spans="1:20" x14ac:dyDescent="0.35">
      <c r="A46" s="1">
        <f t="shared" si="0"/>
        <v>44</v>
      </c>
      <c r="B46" s="1">
        <v>1</v>
      </c>
      <c r="C46" t="s">
        <v>107</v>
      </c>
      <c r="D46" t="s">
        <v>18</v>
      </c>
      <c r="E46" s="3">
        <v>45977</v>
      </c>
      <c r="F46" s="1" t="s">
        <v>86</v>
      </c>
      <c r="G46" s="1" cm="1">
        <f t="array" ref="G46">IFERROR(_xlfn.IFS(FACILITIES[[#This Row],[MÊS]]="JANEIRO",1,FACILITIES[[#This Row],[MÊS]]="FEVEREIRO",2,FACILITIES[[#This Row],[MÊS]]="MARÇO",3,FACILITIES[[#This Row],[MÊS]]="ABRIL",4,FACILITIES[[#This Row],[MÊS]]="MAIO",5,FACILITIES[[#This Row],[MÊS]]="JUNHO",6,FACILITIES[[#This Row],[MÊS]]="JULHO",7,FACILITIES[[#This Row],[MÊS]]="AGOSTO",8,FACILITIES[[#This Row],[MÊS]]="SETEMBRO",9,FACILITIES[[#This Row],[MÊS]]="OUTUBRO",10,FACILITIES[[#This Row],[MÊS]]="NOVEMBRO",11,FACILITIES[[#This Row],[MÊS]]="DEZEMBRO",12),"")</f>
        <v>11</v>
      </c>
      <c r="H46" s="1">
        <v>2025</v>
      </c>
      <c r="I46" t="s">
        <v>91</v>
      </c>
      <c r="J46" t="s">
        <v>64</v>
      </c>
      <c r="K46" t="s">
        <v>67</v>
      </c>
      <c r="L46" s="6">
        <v>45985</v>
      </c>
      <c r="M46" s="6">
        <v>45985</v>
      </c>
      <c r="N46" s="1" t="str">
        <f>IF(FACILITIES[[#This Row],[DATA FINALIZAÇÃO]]&lt;&gt;0,"Finalizado",IF(FACILITIES[[#This Row],[DATA INICIO]]&lt;&gt;0,"Em andamento","Pendente"))</f>
        <v>Finalizado</v>
      </c>
      <c r="O46" s="10">
        <f>IF(FACILITIES[[#This Row],[DATA FINALIZAÇÃO]]-FACILITIES[[#This Row],[DATA INICIO]]&lt;0,0,INT(FACILITIES[[#This Row],[DATA FINALIZAÇÃO]]-FACILITIES[[#This Row],[DATA INICIO]]))</f>
        <v>0</v>
      </c>
      <c r="P46" s="1" t="s">
        <v>71</v>
      </c>
      <c r="Q46" s="1" t="s">
        <v>70</v>
      </c>
      <c r="R46" s="9">
        <v>1E-3</v>
      </c>
      <c r="S46" t="s">
        <v>179</v>
      </c>
      <c r="T46" t="s">
        <v>116</v>
      </c>
    </row>
    <row r="47" spans="1:20" x14ac:dyDescent="0.35">
      <c r="A47" s="1">
        <f t="shared" si="0"/>
        <v>45</v>
      </c>
      <c r="B47" s="1">
        <v>1</v>
      </c>
      <c r="C47" t="s">
        <v>98</v>
      </c>
      <c r="D47" t="s">
        <v>26</v>
      </c>
      <c r="E47" s="3">
        <v>45988</v>
      </c>
      <c r="F47" s="1" t="s">
        <v>86</v>
      </c>
      <c r="G47" s="1" cm="1">
        <f t="array" ref="G47">IFERROR(_xlfn.IFS(FACILITIES[[#This Row],[MÊS]]="JANEIRO",1,FACILITIES[[#This Row],[MÊS]]="FEVEREIRO",2,FACILITIES[[#This Row],[MÊS]]="MARÇO",3,FACILITIES[[#This Row],[MÊS]]="ABRIL",4,FACILITIES[[#This Row],[MÊS]]="MAIO",5,FACILITIES[[#This Row],[MÊS]]="JUNHO",6,FACILITIES[[#This Row],[MÊS]]="JULHO",7,FACILITIES[[#This Row],[MÊS]]="AGOSTO",8,FACILITIES[[#This Row],[MÊS]]="SETEMBRO",9,FACILITIES[[#This Row],[MÊS]]="OUTUBRO",10,FACILITIES[[#This Row],[MÊS]]="NOVEMBRO",11,FACILITIES[[#This Row],[MÊS]]="DEZEMBRO",12),"")</f>
        <v>11</v>
      </c>
      <c r="H47" s="1">
        <v>2025</v>
      </c>
      <c r="I47" t="s">
        <v>60</v>
      </c>
      <c r="J47" t="s">
        <v>64</v>
      </c>
      <c r="K47" t="s">
        <v>67</v>
      </c>
      <c r="L47" s="6">
        <v>45988</v>
      </c>
      <c r="M47" s="6">
        <v>45988</v>
      </c>
      <c r="N47" s="1" t="str">
        <f>IF(FACILITIES[[#This Row],[DATA FINALIZAÇÃO]]&lt;&gt;0,"Finalizado",IF(FACILITIES[[#This Row],[DATA INICIO]]&lt;&gt;0,"Em andamento","Pendente"))</f>
        <v>Finalizado</v>
      </c>
      <c r="O47" s="10">
        <f>IF(FACILITIES[[#This Row],[DATA FINALIZAÇÃO]]-FACILITIES[[#This Row],[DATA INICIO]]&lt;0,0,INT(FACILITIES[[#This Row],[DATA FINALIZAÇÃO]]-FACILITIES[[#This Row],[DATA INICIO]]))</f>
        <v>0</v>
      </c>
      <c r="P47" s="1" t="s">
        <v>71</v>
      </c>
      <c r="Q47" s="1" t="s">
        <v>71</v>
      </c>
      <c r="R47" s="9">
        <v>1E-3</v>
      </c>
      <c r="S47" t="s">
        <v>181</v>
      </c>
      <c r="T47" t="s">
        <v>108</v>
      </c>
    </row>
    <row r="48" spans="1:20" x14ac:dyDescent="0.35">
      <c r="A48" s="1">
        <f t="shared" si="0"/>
        <v>46</v>
      </c>
      <c r="B48" s="1">
        <v>1</v>
      </c>
      <c r="C48" t="s">
        <v>109</v>
      </c>
      <c r="D48" t="s">
        <v>26</v>
      </c>
      <c r="E48" s="3">
        <v>45988</v>
      </c>
      <c r="F48" s="1" t="s">
        <v>86</v>
      </c>
      <c r="G48" s="1" cm="1">
        <f t="array" ref="G48">IFERROR(_xlfn.IFS(FACILITIES[[#This Row],[MÊS]]="JANEIRO",1,FACILITIES[[#This Row],[MÊS]]="FEVEREIRO",2,FACILITIES[[#This Row],[MÊS]]="MARÇO",3,FACILITIES[[#This Row],[MÊS]]="ABRIL",4,FACILITIES[[#This Row],[MÊS]]="MAIO",5,FACILITIES[[#This Row],[MÊS]]="JUNHO",6,FACILITIES[[#This Row],[MÊS]]="JULHO",7,FACILITIES[[#This Row],[MÊS]]="AGOSTO",8,FACILITIES[[#This Row],[MÊS]]="SETEMBRO",9,FACILITIES[[#This Row],[MÊS]]="OUTUBRO",10,FACILITIES[[#This Row],[MÊS]]="NOVEMBRO",11,FACILITIES[[#This Row],[MÊS]]="DEZEMBRO",12),"")</f>
        <v>11</v>
      </c>
      <c r="H48" s="1">
        <v>2025</v>
      </c>
      <c r="I48" t="s">
        <v>60</v>
      </c>
      <c r="J48" t="s">
        <v>64</v>
      </c>
      <c r="K48" t="s">
        <v>67</v>
      </c>
      <c r="L48" s="6">
        <v>45988</v>
      </c>
      <c r="M48" s="6">
        <v>45988</v>
      </c>
      <c r="N48" s="1" t="str">
        <f>IF(FACILITIES[[#This Row],[DATA FINALIZAÇÃO]]&lt;&gt;0,"Finalizado",IF(FACILITIES[[#This Row],[DATA INICIO]]&lt;&gt;0,"Em andamento","Pendente"))</f>
        <v>Finalizado</v>
      </c>
      <c r="O48" s="10">
        <f>IF(FACILITIES[[#This Row],[DATA FINALIZAÇÃO]]-FACILITIES[[#This Row],[DATA INICIO]]&lt;0,0,INT(FACILITIES[[#This Row],[DATA FINALIZAÇÃO]]-FACILITIES[[#This Row],[DATA INICIO]]))</f>
        <v>0</v>
      </c>
      <c r="P48" s="1" t="s">
        <v>71</v>
      </c>
      <c r="Q48" s="1" t="s">
        <v>71</v>
      </c>
      <c r="R48" s="9">
        <v>1E-3</v>
      </c>
      <c r="T48" t="s">
        <v>115</v>
      </c>
    </row>
    <row r="49" spans="1:20" x14ac:dyDescent="0.35">
      <c r="A49" s="1">
        <f t="shared" si="0"/>
        <v>47</v>
      </c>
      <c r="B49" s="1">
        <v>1</v>
      </c>
      <c r="C49" t="s">
        <v>110</v>
      </c>
      <c r="D49" t="s">
        <v>25</v>
      </c>
      <c r="E49" s="3">
        <v>45989</v>
      </c>
      <c r="F49" s="1" t="s">
        <v>86</v>
      </c>
      <c r="G49" s="1" cm="1">
        <f t="array" ref="G49">IFERROR(_xlfn.IFS(FACILITIES[[#This Row],[MÊS]]="JANEIRO",1,FACILITIES[[#This Row],[MÊS]]="FEVEREIRO",2,FACILITIES[[#This Row],[MÊS]]="MARÇO",3,FACILITIES[[#This Row],[MÊS]]="ABRIL",4,FACILITIES[[#This Row],[MÊS]]="MAIO",5,FACILITIES[[#This Row],[MÊS]]="JUNHO",6,FACILITIES[[#This Row],[MÊS]]="JULHO",7,FACILITIES[[#This Row],[MÊS]]="AGOSTO",8,FACILITIES[[#This Row],[MÊS]]="SETEMBRO",9,FACILITIES[[#This Row],[MÊS]]="OUTUBRO",10,FACILITIES[[#This Row],[MÊS]]="NOVEMBRO",11,FACILITIES[[#This Row],[MÊS]]="DEZEMBRO",12),"")</f>
        <v>11</v>
      </c>
      <c r="H49" s="1">
        <v>2025</v>
      </c>
      <c r="I49" t="s">
        <v>39</v>
      </c>
      <c r="J49" t="s">
        <v>64</v>
      </c>
      <c r="K49" t="s">
        <v>67</v>
      </c>
      <c r="L49" s="6">
        <v>45992</v>
      </c>
      <c r="M49" s="6">
        <v>45992</v>
      </c>
      <c r="N49" s="1" t="str">
        <f>IF(FACILITIES[[#This Row],[DATA FINALIZAÇÃO]]&lt;&gt;0,"Finalizado",IF(FACILITIES[[#This Row],[DATA INICIO]]&lt;&gt;0,"Em andamento","Pendente"))</f>
        <v>Finalizado</v>
      </c>
      <c r="O49" s="10">
        <f>IF(FACILITIES[[#This Row],[DATA FINALIZAÇÃO]]-FACILITIES[[#This Row],[DATA INICIO]]&lt;0,0,INT(FACILITIES[[#This Row],[DATA FINALIZAÇÃO]]-FACILITIES[[#This Row],[DATA INICIO]]))</f>
        <v>0</v>
      </c>
      <c r="P49" s="1" t="s">
        <v>70</v>
      </c>
      <c r="Q49" s="1" t="s">
        <v>71</v>
      </c>
      <c r="R49" s="9">
        <v>3559.26</v>
      </c>
      <c r="S49" t="s">
        <v>180</v>
      </c>
      <c r="T49" t="s">
        <v>113</v>
      </c>
    </row>
    <row r="50" spans="1:20" x14ac:dyDescent="0.35">
      <c r="A50" s="1">
        <f t="shared" si="0"/>
        <v>48</v>
      </c>
      <c r="B50" s="1">
        <v>1</v>
      </c>
      <c r="C50" t="s">
        <v>98</v>
      </c>
      <c r="D50" t="s">
        <v>26</v>
      </c>
      <c r="E50" s="3">
        <v>45995</v>
      </c>
      <c r="F50" s="1" t="s">
        <v>87</v>
      </c>
      <c r="G50" s="1" cm="1">
        <f t="array" ref="G50">IFERROR(_xlfn.IFS(FACILITIES[[#This Row],[MÊS]]="JANEIRO",1,FACILITIES[[#This Row],[MÊS]]="FEVEREIRO",2,FACILITIES[[#This Row],[MÊS]]="MARÇO",3,FACILITIES[[#This Row],[MÊS]]="ABRIL",4,FACILITIES[[#This Row],[MÊS]]="MAIO",5,FACILITIES[[#This Row],[MÊS]]="JUNHO",6,FACILITIES[[#This Row],[MÊS]]="JULHO",7,FACILITIES[[#This Row],[MÊS]]="AGOSTO",8,FACILITIES[[#This Row],[MÊS]]="SETEMBRO",9,FACILITIES[[#This Row],[MÊS]]="OUTUBRO",10,FACILITIES[[#This Row],[MÊS]]="NOVEMBRO",11,FACILITIES[[#This Row],[MÊS]]="DEZEMBRO",12),"")</f>
        <v>12</v>
      </c>
      <c r="H50" s="1">
        <v>2025</v>
      </c>
      <c r="I50" t="s">
        <v>91</v>
      </c>
      <c r="J50" t="s">
        <v>64</v>
      </c>
      <c r="K50" t="s">
        <v>67</v>
      </c>
      <c r="L50" s="6">
        <v>46002</v>
      </c>
      <c r="M50" s="6">
        <v>46002</v>
      </c>
      <c r="N50" s="1" t="str">
        <f>IF(FACILITIES[[#This Row],[DATA FINALIZAÇÃO]]&lt;&gt;0,"Finalizado",IF(FACILITIES[[#This Row],[DATA INICIO]]&lt;&gt;0,"Em andamento","Pendente"))</f>
        <v>Finalizado</v>
      </c>
      <c r="O50" s="10">
        <f>IF(FACILITIES[[#This Row],[DATA FINALIZAÇÃO]]-FACILITIES[[#This Row],[DATA INICIO]]&lt;0,0,INT(FACILITIES[[#This Row],[DATA FINALIZAÇÃO]]-FACILITIES[[#This Row],[DATA INICIO]]))</f>
        <v>0</v>
      </c>
      <c r="P50" s="1" t="s">
        <v>70</v>
      </c>
      <c r="Q50" s="1" t="s">
        <v>71</v>
      </c>
      <c r="R50" s="9">
        <v>1E-3</v>
      </c>
      <c r="S50" t="s">
        <v>182</v>
      </c>
      <c r="T50" t="s">
        <v>114</v>
      </c>
    </row>
    <row r="51" spans="1:20" x14ac:dyDescent="0.35">
      <c r="A51" s="1">
        <f t="shared" si="0"/>
        <v>49</v>
      </c>
      <c r="B51" s="1">
        <v>1</v>
      </c>
      <c r="C51" t="s">
        <v>98</v>
      </c>
      <c r="D51" t="s">
        <v>26</v>
      </c>
      <c r="E51" s="3">
        <v>45996</v>
      </c>
      <c r="F51" s="1" t="s">
        <v>87</v>
      </c>
      <c r="G51" s="1" cm="1">
        <f t="array" ref="G51">IFERROR(_xlfn.IFS(FACILITIES[[#This Row],[MÊS]]="JANEIRO",1,FACILITIES[[#This Row],[MÊS]]="FEVEREIRO",2,FACILITIES[[#This Row],[MÊS]]="MARÇO",3,FACILITIES[[#This Row],[MÊS]]="ABRIL",4,FACILITIES[[#This Row],[MÊS]]="MAIO",5,FACILITIES[[#This Row],[MÊS]]="JUNHO",6,FACILITIES[[#This Row],[MÊS]]="JULHO",7,FACILITIES[[#This Row],[MÊS]]="AGOSTO",8,FACILITIES[[#This Row],[MÊS]]="SETEMBRO",9,FACILITIES[[#This Row],[MÊS]]="OUTUBRO",10,FACILITIES[[#This Row],[MÊS]]="NOVEMBRO",11,FACILITIES[[#This Row],[MÊS]]="DEZEMBRO",12),"")</f>
        <v>12</v>
      </c>
      <c r="H51" s="1">
        <v>2025</v>
      </c>
      <c r="I51" t="s">
        <v>60</v>
      </c>
      <c r="J51" t="s">
        <v>64</v>
      </c>
      <c r="K51" t="s">
        <v>67</v>
      </c>
      <c r="L51" s="6">
        <v>46001</v>
      </c>
      <c r="M51" s="6">
        <v>46001</v>
      </c>
      <c r="N51" s="1" t="str">
        <f>IF(FACILITIES[[#This Row],[DATA FINALIZAÇÃO]]&lt;&gt;0,"Finalizado",IF(FACILITIES[[#This Row],[DATA INICIO]]&lt;&gt;0,"Em andamento","Pendente"))</f>
        <v>Finalizado</v>
      </c>
      <c r="O51" s="10">
        <f>IF(FACILITIES[[#This Row],[DATA FINALIZAÇÃO]]-FACILITIES[[#This Row],[DATA INICIO]]&lt;0,0,INT(FACILITIES[[#This Row],[DATA FINALIZAÇÃO]]-FACILITIES[[#This Row],[DATA INICIO]]))</f>
        <v>0</v>
      </c>
      <c r="P51" s="1" t="s">
        <v>70</v>
      </c>
      <c r="Q51" s="1" t="s">
        <v>71</v>
      </c>
      <c r="R51" s="9">
        <v>20</v>
      </c>
      <c r="S51" t="s">
        <v>159</v>
      </c>
      <c r="T51" t="s">
        <v>119</v>
      </c>
    </row>
    <row r="52" spans="1:20" x14ac:dyDescent="0.35">
      <c r="A52" s="1">
        <f t="shared" si="0"/>
        <v>50</v>
      </c>
      <c r="B52" s="1">
        <v>1</v>
      </c>
      <c r="C52" t="s">
        <v>111</v>
      </c>
      <c r="D52" t="s">
        <v>26</v>
      </c>
      <c r="E52" s="3">
        <v>46002</v>
      </c>
      <c r="F52" s="1" t="s">
        <v>87</v>
      </c>
      <c r="G52" s="1" cm="1">
        <f t="array" ref="G52">IFERROR(_xlfn.IFS(FACILITIES[[#This Row],[MÊS]]="JANEIRO",1,FACILITIES[[#This Row],[MÊS]]="FEVEREIRO",2,FACILITIES[[#This Row],[MÊS]]="MARÇO",3,FACILITIES[[#This Row],[MÊS]]="ABRIL",4,FACILITIES[[#This Row],[MÊS]]="MAIO",5,FACILITIES[[#This Row],[MÊS]]="JUNHO",6,FACILITIES[[#This Row],[MÊS]]="JULHO",7,FACILITIES[[#This Row],[MÊS]]="AGOSTO",8,FACILITIES[[#This Row],[MÊS]]="SETEMBRO",9,FACILITIES[[#This Row],[MÊS]]="OUTUBRO",10,FACILITIES[[#This Row],[MÊS]]="NOVEMBRO",11,FACILITIES[[#This Row],[MÊS]]="DEZEMBRO",12),"")</f>
        <v>12</v>
      </c>
      <c r="H52" s="1">
        <v>2025</v>
      </c>
      <c r="I52" t="s">
        <v>91</v>
      </c>
      <c r="J52" t="s">
        <v>64</v>
      </c>
      <c r="K52" t="s">
        <v>67</v>
      </c>
      <c r="L52" s="6">
        <v>46002</v>
      </c>
      <c r="M52" s="6">
        <v>46002</v>
      </c>
      <c r="N52" s="1" t="str">
        <f>IF(FACILITIES[[#This Row],[DATA FINALIZAÇÃO]]&lt;&gt;0,"Finalizado",IF(FACILITIES[[#This Row],[DATA INICIO]]&lt;&gt;0,"Em andamento","Pendente"))</f>
        <v>Finalizado</v>
      </c>
      <c r="O52" s="10">
        <f>IF(FACILITIES[[#This Row],[DATA FINALIZAÇÃO]]-FACILITIES[[#This Row],[DATA INICIO]]&lt;0,0,INT(FACILITIES[[#This Row],[DATA FINALIZAÇÃO]]-FACILITIES[[#This Row],[DATA INICIO]]))</f>
        <v>0</v>
      </c>
      <c r="P52" s="1" t="s">
        <v>70</v>
      </c>
      <c r="Q52" s="1" t="s">
        <v>70</v>
      </c>
      <c r="R52" s="9">
        <v>1E-3</v>
      </c>
      <c r="S52" t="s">
        <v>183</v>
      </c>
      <c r="T52" t="s">
        <v>120</v>
      </c>
    </row>
    <row r="53" spans="1:20" x14ac:dyDescent="0.35">
      <c r="A53" s="1">
        <f t="shared" si="0"/>
        <v>51</v>
      </c>
      <c r="B53" s="1">
        <v>1</v>
      </c>
      <c r="C53" t="s">
        <v>98</v>
      </c>
      <c r="D53" t="s">
        <v>26</v>
      </c>
      <c r="E53" s="3">
        <v>46002</v>
      </c>
      <c r="F53" s="1" t="s">
        <v>87</v>
      </c>
      <c r="G53" s="1" cm="1">
        <f t="array" ref="G53">IFERROR(_xlfn.IFS(FACILITIES[[#This Row],[MÊS]]="JANEIRO",1,FACILITIES[[#This Row],[MÊS]]="FEVEREIRO",2,FACILITIES[[#This Row],[MÊS]]="MARÇO",3,FACILITIES[[#This Row],[MÊS]]="ABRIL",4,FACILITIES[[#This Row],[MÊS]]="MAIO",5,FACILITIES[[#This Row],[MÊS]]="JUNHO",6,FACILITIES[[#This Row],[MÊS]]="JULHO",7,FACILITIES[[#This Row],[MÊS]]="AGOSTO",8,FACILITIES[[#This Row],[MÊS]]="SETEMBRO",9,FACILITIES[[#This Row],[MÊS]]="OUTUBRO",10,FACILITIES[[#This Row],[MÊS]]="NOVEMBRO",11,FACILITIES[[#This Row],[MÊS]]="DEZEMBRO",12),"")</f>
        <v>12</v>
      </c>
      <c r="H53" s="1">
        <v>2025</v>
      </c>
      <c r="I53" t="s">
        <v>91</v>
      </c>
      <c r="J53" t="s">
        <v>64</v>
      </c>
      <c r="K53" t="s">
        <v>67</v>
      </c>
      <c r="L53" s="6">
        <v>46002</v>
      </c>
      <c r="M53" s="6">
        <v>46002</v>
      </c>
      <c r="N53" s="1" t="str">
        <f>IF(FACILITIES[[#This Row],[DATA FINALIZAÇÃO]]&lt;&gt;0,"Finalizado",IF(FACILITIES[[#This Row],[DATA INICIO]]&lt;&gt;0,"Em andamento","Pendente"))</f>
        <v>Finalizado</v>
      </c>
      <c r="O53" s="10">
        <f>IF(FACILITIES[[#This Row],[DATA FINALIZAÇÃO]]-FACILITIES[[#This Row],[DATA INICIO]]&lt;0,0,INT(FACILITIES[[#This Row],[DATA FINALIZAÇÃO]]-FACILITIES[[#This Row],[DATA INICIO]]))</f>
        <v>0</v>
      </c>
      <c r="P53" s="1" t="s">
        <v>70</v>
      </c>
      <c r="Q53" s="1" t="s">
        <v>70</v>
      </c>
      <c r="R53" s="9">
        <v>1E-3</v>
      </c>
      <c r="S53" t="s">
        <v>183</v>
      </c>
      <c r="T53" t="s">
        <v>120</v>
      </c>
    </row>
    <row r="54" spans="1:20" x14ac:dyDescent="0.35">
      <c r="A54" s="1">
        <f t="shared" si="0"/>
        <v>52</v>
      </c>
      <c r="B54" s="1">
        <v>1</v>
      </c>
      <c r="C54" t="s">
        <v>117</v>
      </c>
      <c r="D54" t="s">
        <v>22</v>
      </c>
      <c r="E54" s="3">
        <v>46003</v>
      </c>
      <c r="F54" s="1" t="s">
        <v>87</v>
      </c>
      <c r="G54" s="1" cm="1">
        <f t="array" ref="G54">IFERROR(_xlfn.IFS(FACILITIES[[#This Row],[MÊS]]="JANEIRO",1,FACILITIES[[#This Row],[MÊS]]="FEVEREIRO",2,FACILITIES[[#This Row],[MÊS]]="MARÇO",3,FACILITIES[[#This Row],[MÊS]]="ABRIL",4,FACILITIES[[#This Row],[MÊS]]="MAIO",5,FACILITIES[[#This Row],[MÊS]]="JUNHO",6,FACILITIES[[#This Row],[MÊS]]="JULHO",7,FACILITIES[[#This Row],[MÊS]]="AGOSTO",8,FACILITIES[[#This Row],[MÊS]]="SETEMBRO",9,FACILITIES[[#This Row],[MÊS]]="OUTUBRO",10,FACILITIES[[#This Row],[MÊS]]="NOVEMBRO",11,FACILITIES[[#This Row],[MÊS]]="DEZEMBRO",12),"")</f>
        <v>12</v>
      </c>
      <c r="H54" s="1">
        <v>2025</v>
      </c>
      <c r="I54" t="s">
        <v>39</v>
      </c>
      <c r="J54" t="s">
        <v>64</v>
      </c>
      <c r="K54" t="s">
        <v>67</v>
      </c>
      <c r="L54" s="6">
        <v>46003</v>
      </c>
      <c r="M54" s="6">
        <v>46003</v>
      </c>
      <c r="N54" s="1" t="str">
        <f>IF(FACILITIES[[#This Row],[DATA FINALIZAÇÃO]]&lt;&gt;0,"Finalizado",IF(FACILITIES[[#This Row],[DATA INICIO]]&lt;&gt;0,"Em andamento","Pendente"))</f>
        <v>Finalizado</v>
      </c>
      <c r="O54" s="10">
        <f>IF(FACILITIES[[#This Row],[DATA FINALIZAÇÃO]]-FACILITIES[[#This Row],[DATA INICIO]]&lt;0,0,INT(FACILITIES[[#This Row],[DATA FINALIZAÇÃO]]-FACILITIES[[#This Row],[DATA INICIO]]))</f>
        <v>0</v>
      </c>
      <c r="P54" s="1" t="s">
        <v>70</v>
      </c>
      <c r="Q54" s="1" t="s">
        <v>71</v>
      </c>
      <c r="R54" s="9">
        <v>742.44</v>
      </c>
      <c r="S54" t="s">
        <v>184</v>
      </c>
      <c r="T54" t="s">
        <v>118</v>
      </c>
    </row>
    <row r="55" spans="1:20" x14ac:dyDescent="0.35">
      <c r="A55" s="1">
        <f t="shared" si="0"/>
        <v>53</v>
      </c>
      <c r="B55" s="1">
        <v>1</v>
      </c>
      <c r="C55" t="s">
        <v>121</v>
      </c>
      <c r="D55" t="s">
        <v>20</v>
      </c>
      <c r="E55" s="3">
        <v>46006</v>
      </c>
      <c r="F55" s="1" t="s">
        <v>87</v>
      </c>
      <c r="G55" s="1" cm="1">
        <f t="array" ref="G55">IFERROR(_xlfn.IFS(FACILITIES[[#This Row],[MÊS]]="JANEIRO",1,FACILITIES[[#This Row],[MÊS]]="FEVEREIRO",2,FACILITIES[[#This Row],[MÊS]]="MARÇO",3,FACILITIES[[#This Row],[MÊS]]="ABRIL",4,FACILITIES[[#This Row],[MÊS]]="MAIO",5,FACILITIES[[#This Row],[MÊS]]="JUNHO",6,FACILITIES[[#This Row],[MÊS]]="JULHO",7,FACILITIES[[#This Row],[MÊS]]="AGOSTO",8,FACILITIES[[#This Row],[MÊS]]="SETEMBRO",9,FACILITIES[[#This Row],[MÊS]]="OUTUBRO",10,FACILITIES[[#This Row],[MÊS]]="NOVEMBRO",11,FACILITIES[[#This Row],[MÊS]]="DEZEMBRO",12),"")</f>
        <v>12</v>
      </c>
      <c r="H55" s="1">
        <v>2025</v>
      </c>
      <c r="I55" t="s">
        <v>91</v>
      </c>
      <c r="J55" t="s">
        <v>64</v>
      </c>
      <c r="K55" t="s">
        <v>67</v>
      </c>
      <c r="L55" s="6">
        <v>46008</v>
      </c>
      <c r="M55" s="6">
        <v>46009</v>
      </c>
      <c r="N55" s="1" t="s">
        <v>123</v>
      </c>
      <c r="O55" s="10">
        <f>IF(FACILITIES[[#This Row],[DATA FINALIZAÇÃO]]-FACILITIES[[#This Row],[DATA INICIO]]&lt;0,0,INT(FACILITIES[[#This Row],[DATA FINALIZAÇÃO]]-FACILITIES[[#This Row],[DATA INICIO]]))</f>
        <v>1</v>
      </c>
      <c r="P55" s="1" t="s">
        <v>70</v>
      </c>
      <c r="Q55" s="1" t="s">
        <v>71</v>
      </c>
      <c r="R55" s="9">
        <v>71.88</v>
      </c>
      <c r="S55" t="s">
        <v>185</v>
      </c>
      <c r="T55" t="s">
        <v>122</v>
      </c>
    </row>
    <row r="56" spans="1:20" x14ac:dyDescent="0.35">
      <c r="A56" s="1">
        <f t="shared" si="0"/>
        <v>54</v>
      </c>
      <c r="B56" s="1">
        <v>1</v>
      </c>
      <c r="C56" t="s">
        <v>124</v>
      </c>
      <c r="D56" t="s">
        <v>4</v>
      </c>
      <c r="E56" s="3">
        <v>46007</v>
      </c>
      <c r="F56" s="1" t="s">
        <v>87</v>
      </c>
      <c r="G56" s="1" cm="1">
        <f t="array" ref="G56">IFERROR(_xlfn.IFS(FACILITIES[[#This Row],[MÊS]]="JANEIRO",1,FACILITIES[[#This Row],[MÊS]]="FEVEREIRO",2,FACILITIES[[#This Row],[MÊS]]="MARÇO",3,FACILITIES[[#This Row],[MÊS]]="ABRIL",4,FACILITIES[[#This Row],[MÊS]]="MAIO",5,FACILITIES[[#This Row],[MÊS]]="JUNHO",6,FACILITIES[[#This Row],[MÊS]]="JULHO",7,FACILITIES[[#This Row],[MÊS]]="AGOSTO",8,FACILITIES[[#This Row],[MÊS]]="SETEMBRO",9,FACILITIES[[#This Row],[MÊS]]="OUTUBRO",10,FACILITIES[[#This Row],[MÊS]]="NOVEMBRO",11,FACILITIES[[#This Row],[MÊS]]="DEZEMBRO",12),"")</f>
        <v>12</v>
      </c>
      <c r="H56" s="1">
        <v>2025</v>
      </c>
      <c r="I56" t="s">
        <v>56</v>
      </c>
      <c r="J56" t="s">
        <v>64</v>
      </c>
      <c r="K56" t="s">
        <v>67</v>
      </c>
      <c r="L56" s="6">
        <v>46042</v>
      </c>
      <c r="M56" s="6">
        <v>46042</v>
      </c>
      <c r="N56" s="1" t="str">
        <f>IF(FACILITIES[[#This Row],[DATA FINALIZAÇÃO]]&lt;&gt;0,"Finalizado",IF(FACILITIES[[#This Row],[DATA INICIO]]&lt;&gt;0,"Em andamento","Pendente"))</f>
        <v>Finalizado</v>
      </c>
      <c r="O56" s="10">
        <f>IF(FACILITIES[[#This Row],[DATA FINALIZAÇÃO]]-FACILITIES[[#This Row],[DATA INICIO]]&lt;0,0,INT(FACILITIES[[#This Row],[DATA FINALIZAÇÃO]]-FACILITIES[[#This Row],[DATA INICIO]]))</f>
        <v>0</v>
      </c>
      <c r="P56" s="1" t="s">
        <v>70</v>
      </c>
      <c r="Q56" s="1" t="s">
        <v>71</v>
      </c>
      <c r="R56" s="9">
        <v>1E-3</v>
      </c>
      <c r="S56" t="s">
        <v>186</v>
      </c>
      <c r="T56" t="s">
        <v>126</v>
      </c>
    </row>
    <row r="57" spans="1:20" x14ac:dyDescent="0.35">
      <c r="A57" s="1">
        <f t="shared" si="0"/>
        <v>55</v>
      </c>
      <c r="B57" s="1">
        <v>1</v>
      </c>
      <c r="C57" t="s">
        <v>98</v>
      </c>
      <c r="D57" t="s">
        <v>26</v>
      </c>
      <c r="E57" s="3">
        <v>46020</v>
      </c>
      <c r="F57" s="1" t="s">
        <v>87</v>
      </c>
      <c r="G57" s="1" cm="1">
        <f t="array" ref="G57">IFERROR(_xlfn.IFS(FACILITIES[[#This Row],[MÊS]]="JANEIRO",1,FACILITIES[[#This Row],[MÊS]]="FEVEREIRO",2,FACILITIES[[#This Row],[MÊS]]="MARÇO",3,FACILITIES[[#This Row],[MÊS]]="ABRIL",4,FACILITIES[[#This Row],[MÊS]]="MAIO",5,FACILITIES[[#This Row],[MÊS]]="JUNHO",6,FACILITIES[[#This Row],[MÊS]]="JULHO",7,FACILITIES[[#This Row],[MÊS]]="AGOSTO",8,FACILITIES[[#This Row],[MÊS]]="SETEMBRO",9,FACILITIES[[#This Row],[MÊS]]="OUTUBRO",10,FACILITIES[[#This Row],[MÊS]]="NOVEMBRO",11,FACILITIES[[#This Row],[MÊS]]="DEZEMBRO",12),"")</f>
        <v>12</v>
      </c>
      <c r="H57" s="1">
        <v>2025</v>
      </c>
      <c r="I57" t="s">
        <v>41</v>
      </c>
      <c r="J57" t="s">
        <v>64</v>
      </c>
      <c r="K57" t="s">
        <v>67</v>
      </c>
      <c r="L57" s="6">
        <v>46027</v>
      </c>
      <c r="M57" s="6">
        <v>46035</v>
      </c>
      <c r="N57" s="1" t="str">
        <f>IF(FACILITIES[[#This Row],[DATA FINALIZAÇÃO]]&lt;&gt;0,"Finalizado",IF(FACILITIES[[#This Row],[DATA INICIO]]&lt;&gt;0,"Em andamento","Pendente"))</f>
        <v>Finalizado</v>
      </c>
      <c r="O57" s="10">
        <f>IF(FACILITIES[[#This Row],[DATA FINALIZAÇÃO]]-FACILITIES[[#This Row],[DATA INICIO]]&lt;0,0,INT(FACILITIES[[#This Row],[DATA FINALIZAÇÃO]]-FACILITIES[[#This Row],[DATA INICIO]]))</f>
        <v>8</v>
      </c>
      <c r="P57" s="1" t="s">
        <v>70</v>
      </c>
      <c r="Q57" s="1" t="s">
        <v>71</v>
      </c>
      <c r="R57" s="9">
        <v>3756.98</v>
      </c>
      <c r="S57" t="s">
        <v>187</v>
      </c>
      <c r="T57" t="s">
        <v>125</v>
      </c>
    </row>
    <row r="58" spans="1:20" x14ac:dyDescent="0.35">
      <c r="A58" s="1">
        <f t="shared" si="0"/>
        <v>56</v>
      </c>
      <c r="B58" s="1">
        <v>1</v>
      </c>
      <c r="C58" t="s">
        <v>127</v>
      </c>
      <c r="D58" t="s">
        <v>14</v>
      </c>
      <c r="E58" s="3">
        <v>46042</v>
      </c>
      <c r="F58" s="1" t="s">
        <v>79</v>
      </c>
      <c r="G58" s="1" cm="1">
        <f t="array" ref="G58">IFERROR(_xlfn.IFS(FACILITIES[[#This Row],[MÊS]]="JANEIRO",1,FACILITIES[[#This Row],[MÊS]]="FEVEREIRO",2,FACILITIES[[#This Row],[MÊS]]="MARÇO",3,FACILITIES[[#This Row],[MÊS]]="ABRIL",4,FACILITIES[[#This Row],[MÊS]]="MAIO",5,FACILITIES[[#This Row],[MÊS]]="JUNHO",6,FACILITIES[[#This Row],[MÊS]]="JULHO",7,FACILITIES[[#This Row],[MÊS]]="AGOSTO",8,FACILITIES[[#This Row],[MÊS]]="SETEMBRO",9,FACILITIES[[#This Row],[MÊS]]="OUTUBRO",10,FACILITIES[[#This Row],[MÊS]]="NOVEMBRO",11,FACILITIES[[#This Row],[MÊS]]="DEZEMBRO",12),"")</f>
        <v>1</v>
      </c>
      <c r="H58" s="1">
        <v>2026</v>
      </c>
      <c r="I58" t="s">
        <v>39</v>
      </c>
      <c r="J58" t="s">
        <v>64</v>
      </c>
      <c r="K58" t="s">
        <v>67</v>
      </c>
      <c r="L58" s="6">
        <v>46042</v>
      </c>
      <c r="M58" s="6">
        <v>46043</v>
      </c>
      <c r="N58" s="1" t="str">
        <f>IF(FACILITIES[[#This Row],[DATA FINALIZAÇÃO]]&lt;&gt;0,"Finalizado",IF(FACILITIES[[#This Row],[DATA INICIO]]&lt;&gt;0,"Em andamento","Pendente"))</f>
        <v>Finalizado</v>
      </c>
      <c r="O58" s="10">
        <f>IF(FACILITIES[[#This Row],[DATA FINALIZAÇÃO]]-FACILITIES[[#This Row],[DATA INICIO]]&lt;0,0,INT(FACILITIES[[#This Row],[DATA FINALIZAÇÃO]]-FACILITIES[[#This Row],[DATA INICIO]]))</f>
        <v>1</v>
      </c>
      <c r="P58" s="1" t="s">
        <v>70</v>
      </c>
      <c r="Q58" s="1" t="s">
        <v>71</v>
      </c>
      <c r="R58" s="9">
        <v>1E-3</v>
      </c>
      <c r="S58" t="s">
        <v>189</v>
      </c>
      <c r="T58" t="s">
        <v>188</v>
      </c>
    </row>
    <row r="59" spans="1:20" x14ac:dyDescent="0.35">
      <c r="A59" s="1">
        <f t="shared" si="0"/>
        <v>57</v>
      </c>
      <c r="B59" s="1">
        <v>1</v>
      </c>
      <c r="C59" t="s">
        <v>88</v>
      </c>
      <c r="D59" t="s">
        <v>12</v>
      </c>
      <c r="E59" s="3">
        <v>46048</v>
      </c>
      <c r="F59" s="1" t="s">
        <v>79</v>
      </c>
      <c r="G59" s="1" cm="1">
        <f t="array" ref="G59">IFERROR(_xlfn.IFS(FACILITIES[[#This Row],[MÊS]]="JANEIRO",1,FACILITIES[[#This Row],[MÊS]]="FEVEREIRO",2,FACILITIES[[#This Row],[MÊS]]="MARÇO",3,FACILITIES[[#This Row],[MÊS]]="ABRIL",4,FACILITIES[[#This Row],[MÊS]]="MAIO",5,FACILITIES[[#This Row],[MÊS]]="JUNHO",6,FACILITIES[[#This Row],[MÊS]]="JULHO",7,FACILITIES[[#This Row],[MÊS]]="AGOSTO",8,FACILITIES[[#This Row],[MÊS]]="SETEMBRO",9,FACILITIES[[#This Row],[MÊS]]="OUTUBRO",10,FACILITIES[[#This Row],[MÊS]]="NOVEMBRO",11,FACILITIES[[#This Row],[MÊS]]="DEZEMBRO",12),"")</f>
        <v>1</v>
      </c>
      <c r="H59" s="1">
        <v>2026</v>
      </c>
      <c r="I59" t="s">
        <v>40</v>
      </c>
      <c r="J59" t="s">
        <v>64</v>
      </c>
      <c r="K59" t="s">
        <v>67</v>
      </c>
      <c r="L59" s="6">
        <v>46048</v>
      </c>
      <c r="M59" s="6">
        <v>46048</v>
      </c>
      <c r="N59" s="1" t="str">
        <f>IF(FACILITIES[[#This Row],[DATA FINALIZAÇÃO]]&lt;&gt;0,"Finalizado",IF(FACILITIES[[#This Row],[DATA INICIO]]&lt;&gt;0,"Em andamento","Pendente"))</f>
        <v>Finalizado</v>
      </c>
      <c r="O59" s="10">
        <f>IF(FACILITIES[[#This Row],[DATA FINALIZAÇÃO]]-FACILITIES[[#This Row],[DATA INICIO]]&lt;0,0,INT(FACILITIES[[#This Row],[DATA FINALIZAÇÃO]]-FACILITIES[[#This Row],[DATA INICIO]]))</f>
        <v>0</v>
      </c>
      <c r="P59" s="1" t="s">
        <v>70</v>
      </c>
      <c r="Q59" s="1" t="s">
        <v>71</v>
      </c>
      <c r="R59" s="9">
        <v>1E-3</v>
      </c>
      <c r="S59" t="s">
        <v>190</v>
      </c>
      <c r="T59" t="s">
        <v>154</v>
      </c>
    </row>
    <row r="60" spans="1:20" x14ac:dyDescent="0.35">
      <c r="A60" s="1">
        <f t="shared" si="0"/>
        <v>58</v>
      </c>
      <c r="B60" s="1">
        <v>1</v>
      </c>
      <c r="C60" t="s">
        <v>89</v>
      </c>
      <c r="D60" t="s">
        <v>26</v>
      </c>
      <c r="E60" s="3">
        <v>46048</v>
      </c>
      <c r="F60" s="1" t="s">
        <v>79</v>
      </c>
      <c r="G60" s="1" cm="1">
        <f t="array" ref="G60">IFERROR(_xlfn.IFS(FACILITIES[[#This Row],[MÊS]]="JANEIRO",1,FACILITIES[[#This Row],[MÊS]]="FEVEREIRO",2,FACILITIES[[#This Row],[MÊS]]="MARÇO",3,FACILITIES[[#This Row],[MÊS]]="ABRIL",4,FACILITIES[[#This Row],[MÊS]]="MAIO",5,FACILITIES[[#This Row],[MÊS]]="JUNHO",6,FACILITIES[[#This Row],[MÊS]]="JULHO",7,FACILITIES[[#This Row],[MÊS]]="AGOSTO",8,FACILITIES[[#This Row],[MÊS]]="SETEMBRO",9,FACILITIES[[#This Row],[MÊS]]="OUTUBRO",10,FACILITIES[[#This Row],[MÊS]]="NOVEMBRO",11,FACILITIES[[#This Row],[MÊS]]="DEZEMBRO",12),"")</f>
        <v>1</v>
      </c>
      <c r="H60" s="1">
        <v>2026</v>
      </c>
      <c r="I60" t="s">
        <v>47</v>
      </c>
      <c r="J60" t="s">
        <v>64</v>
      </c>
      <c r="K60" t="s">
        <v>69</v>
      </c>
      <c r="L60" s="6">
        <v>46080</v>
      </c>
      <c r="M60" s="6">
        <v>46081</v>
      </c>
      <c r="N60" s="1" t="str">
        <f>IF(FACILITIES[[#This Row],[DATA FINALIZAÇÃO]]&lt;&gt;0,"Finalizado",IF(FACILITIES[[#This Row],[DATA INICIO]]&lt;&gt;0,"Em andamento","Pendente"))</f>
        <v>Finalizado</v>
      </c>
      <c r="O60" s="10">
        <f>IF(FACILITIES[[#This Row],[DATA FINALIZAÇÃO]]-FACILITIES[[#This Row],[DATA INICIO]]&lt;0,0,INT(FACILITIES[[#This Row],[DATA FINALIZAÇÃO]]-FACILITIES[[#This Row],[DATA INICIO]]))</f>
        <v>1</v>
      </c>
      <c r="P60" s="1" t="s">
        <v>70</v>
      </c>
      <c r="Q60" s="1" t="s">
        <v>71</v>
      </c>
      <c r="R60" s="9">
        <v>1456</v>
      </c>
      <c r="S60" t="s">
        <v>162</v>
      </c>
    </row>
    <row r="61" spans="1:20" x14ac:dyDescent="0.35">
      <c r="A61" s="1">
        <f t="shared" si="0"/>
        <v>59</v>
      </c>
      <c r="B61" s="1">
        <v>1</v>
      </c>
      <c r="C61" t="s">
        <v>89</v>
      </c>
      <c r="D61" t="s">
        <v>26</v>
      </c>
      <c r="E61" s="3">
        <v>46048</v>
      </c>
      <c r="F61" s="1" t="s">
        <v>79</v>
      </c>
      <c r="G61" s="1" cm="1">
        <f t="array" ref="G61">IFERROR(_xlfn.IFS(FACILITIES[[#This Row],[MÊS]]="JANEIRO",1,FACILITIES[[#This Row],[MÊS]]="FEVEREIRO",2,FACILITIES[[#This Row],[MÊS]]="MARÇO",3,FACILITIES[[#This Row],[MÊS]]="ABRIL",4,FACILITIES[[#This Row],[MÊS]]="MAIO",5,FACILITIES[[#This Row],[MÊS]]="JUNHO",6,FACILITIES[[#This Row],[MÊS]]="JULHO",7,FACILITIES[[#This Row],[MÊS]]="AGOSTO",8,FACILITIES[[#This Row],[MÊS]]="SETEMBRO",9,FACILITIES[[#This Row],[MÊS]]="OUTUBRO",10,FACILITIES[[#This Row],[MÊS]]="NOVEMBRO",11,FACILITIES[[#This Row],[MÊS]]="DEZEMBRO",12),"")</f>
        <v>1</v>
      </c>
      <c r="H61" s="1">
        <v>2026</v>
      </c>
      <c r="I61" t="s">
        <v>100</v>
      </c>
      <c r="J61" t="s">
        <v>64</v>
      </c>
      <c r="K61" t="s">
        <v>69</v>
      </c>
      <c r="L61" s="6">
        <v>46080</v>
      </c>
      <c r="M61" s="6">
        <v>46081</v>
      </c>
      <c r="N61" s="1" t="str">
        <f>IF(FACILITIES[[#This Row],[DATA FINALIZAÇÃO]]&lt;&gt;0,"Finalizado",IF(FACILITIES[[#This Row],[DATA INICIO]]&lt;&gt;0,"Em andamento","Pendente"))</f>
        <v>Finalizado</v>
      </c>
      <c r="O61" s="10">
        <f>IF(FACILITIES[[#This Row],[DATA FINALIZAÇÃO]]-FACILITIES[[#This Row],[DATA INICIO]]&lt;0,0,INT(FACILITIES[[#This Row],[DATA FINALIZAÇÃO]]-FACILITIES[[#This Row],[DATA INICIO]]))</f>
        <v>1</v>
      </c>
      <c r="P61" s="1" t="s">
        <v>70</v>
      </c>
      <c r="Q61" s="1" t="s">
        <v>71</v>
      </c>
      <c r="R61" s="9">
        <v>1456</v>
      </c>
      <c r="S61" t="s">
        <v>161</v>
      </c>
    </row>
    <row r="62" spans="1:20" x14ac:dyDescent="0.35">
      <c r="A62" s="1">
        <f t="shared" si="0"/>
        <v>60</v>
      </c>
      <c r="B62" s="1">
        <v>1</v>
      </c>
      <c r="C62" t="s">
        <v>89</v>
      </c>
      <c r="D62" t="s">
        <v>26</v>
      </c>
      <c r="E62" s="3">
        <v>46048</v>
      </c>
      <c r="F62" s="1" t="s">
        <v>79</v>
      </c>
      <c r="G62" s="1" cm="1">
        <f t="array" ref="G62">IFERROR(_xlfn.IFS(FACILITIES[[#This Row],[MÊS]]="JANEIRO",1,FACILITIES[[#This Row],[MÊS]]="FEVEREIRO",2,FACILITIES[[#This Row],[MÊS]]="MARÇO",3,FACILITIES[[#This Row],[MÊS]]="ABRIL",4,FACILITIES[[#This Row],[MÊS]]="MAIO",5,FACILITIES[[#This Row],[MÊS]]="JUNHO",6,FACILITIES[[#This Row],[MÊS]]="JULHO",7,FACILITIES[[#This Row],[MÊS]]="AGOSTO",8,FACILITIES[[#This Row],[MÊS]]="SETEMBRO",9,FACILITIES[[#This Row],[MÊS]]="OUTUBRO",10,FACILITIES[[#This Row],[MÊS]]="NOVEMBRO",11,FACILITIES[[#This Row],[MÊS]]="DEZEMBRO",12),"")</f>
        <v>1</v>
      </c>
      <c r="H62" s="1">
        <v>2026</v>
      </c>
      <c r="I62" t="s">
        <v>47</v>
      </c>
      <c r="J62" t="s">
        <v>64</v>
      </c>
      <c r="K62" t="s">
        <v>69</v>
      </c>
      <c r="L62" s="6">
        <v>46080</v>
      </c>
      <c r="M62" s="6">
        <v>46081</v>
      </c>
      <c r="N62" s="1" t="str">
        <f>IF(FACILITIES[[#This Row],[DATA FINALIZAÇÃO]]&lt;&gt;0,"Finalizado",IF(FACILITIES[[#This Row],[DATA INICIO]]&lt;&gt;0,"Em andamento","Pendente"))</f>
        <v>Finalizado</v>
      </c>
      <c r="O62" s="10">
        <f>IF(FACILITIES[[#This Row],[DATA FINALIZAÇÃO]]-FACILITIES[[#This Row],[DATA INICIO]]&lt;0,0,INT(FACILITIES[[#This Row],[DATA FINALIZAÇÃO]]-FACILITIES[[#This Row],[DATA INICIO]]))</f>
        <v>1</v>
      </c>
      <c r="P62" s="1" t="s">
        <v>70</v>
      </c>
      <c r="Q62" s="1" t="s">
        <v>71</v>
      </c>
      <c r="R62" s="9">
        <v>888</v>
      </c>
      <c r="S62" t="s">
        <v>160</v>
      </c>
    </row>
    <row r="63" spans="1:20" x14ac:dyDescent="0.35">
      <c r="A63" s="1">
        <f t="shared" si="0"/>
        <v>61</v>
      </c>
      <c r="B63" s="1">
        <v>1</v>
      </c>
      <c r="C63" t="s">
        <v>89</v>
      </c>
      <c r="D63" t="s">
        <v>26</v>
      </c>
      <c r="E63" s="3">
        <v>46048</v>
      </c>
      <c r="F63" s="1" t="s">
        <v>79</v>
      </c>
      <c r="G63" s="1" cm="1">
        <f t="array" ref="G63">IFERROR(_xlfn.IFS(FACILITIES[[#This Row],[MÊS]]="JANEIRO",1,FACILITIES[[#This Row],[MÊS]]="FEVEREIRO",2,FACILITIES[[#This Row],[MÊS]]="MARÇO",3,FACILITIES[[#This Row],[MÊS]]="ABRIL",4,FACILITIES[[#This Row],[MÊS]]="MAIO",5,FACILITIES[[#This Row],[MÊS]]="JUNHO",6,FACILITIES[[#This Row],[MÊS]]="JULHO",7,FACILITIES[[#This Row],[MÊS]]="AGOSTO",8,FACILITIES[[#This Row],[MÊS]]="SETEMBRO",9,FACILITIES[[#This Row],[MÊS]]="OUTUBRO",10,FACILITIES[[#This Row],[MÊS]]="NOVEMBRO",11,FACILITIES[[#This Row],[MÊS]]="DEZEMBRO",12),"")</f>
        <v>1</v>
      </c>
      <c r="H63" s="1">
        <v>2026</v>
      </c>
      <c r="I63" t="s">
        <v>60</v>
      </c>
      <c r="J63" t="s">
        <v>64</v>
      </c>
      <c r="K63" t="s">
        <v>69</v>
      </c>
      <c r="L63" s="6">
        <v>46080</v>
      </c>
      <c r="M63" s="6">
        <v>46080</v>
      </c>
      <c r="N63" s="1" t="str">
        <f>IF(FACILITIES[[#This Row],[DATA FINALIZAÇÃO]]&lt;&gt;0,"Finalizado",IF(FACILITIES[[#This Row],[DATA INICIO]]&lt;&gt;0,"Em andamento","Pendente"))</f>
        <v>Finalizado</v>
      </c>
      <c r="O63" s="10">
        <f>IF(FACILITIES[[#This Row],[DATA FINALIZAÇÃO]]-FACILITIES[[#This Row],[DATA INICIO]]&lt;0,0,INT(FACILITIES[[#This Row],[DATA FINALIZAÇÃO]]-FACILITIES[[#This Row],[DATA INICIO]]))</f>
        <v>0</v>
      </c>
      <c r="P63" s="1" t="s">
        <v>70</v>
      </c>
      <c r="Q63" s="1" t="s">
        <v>71</v>
      </c>
      <c r="R63" s="9">
        <v>775</v>
      </c>
      <c r="S63" t="s">
        <v>159</v>
      </c>
    </row>
    <row r="64" spans="1:20" x14ac:dyDescent="0.35">
      <c r="A64" s="1">
        <f t="shared" si="0"/>
        <v>62</v>
      </c>
      <c r="B64" s="1">
        <v>1</v>
      </c>
      <c r="C64" t="s">
        <v>89</v>
      </c>
      <c r="D64" t="s">
        <v>26</v>
      </c>
      <c r="E64" s="3">
        <v>46048</v>
      </c>
      <c r="F64" s="1" t="s">
        <v>79</v>
      </c>
      <c r="G64" s="1" cm="1">
        <f t="array" ref="G64">IFERROR(_xlfn.IFS(FACILITIES[[#This Row],[MÊS]]="JANEIRO",1,FACILITIES[[#This Row],[MÊS]]="FEVEREIRO",2,FACILITIES[[#This Row],[MÊS]]="MARÇO",3,FACILITIES[[#This Row],[MÊS]]="ABRIL",4,FACILITIES[[#This Row],[MÊS]]="MAIO",5,FACILITIES[[#This Row],[MÊS]]="JUNHO",6,FACILITIES[[#This Row],[MÊS]]="JULHO",7,FACILITIES[[#This Row],[MÊS]]="AGOSTO",8,FACILITIES[[#This Row],[MÊS]]="SETEMBRO",9,FACILITIES[[#This Row],[MÊS]]="OUTUBRO",10,FACILITIES[[#This Row],[MÊS]]="NOVEMBRO",11,FACILITIES[[#This Row],[MÊS]]="DEZEMBRO",12),"")</f>
        <v>1</v>
      </c>
      <c r="H64" s="1">
        <v>2026</v>
      </c>
      <c r="I64" t="s">
        <v>51</v>
      </c>
      <c r="J64" t="s">
        <v>64</v>
      </c>
      <c r="K64" t="s">
        <v>69</v>
      </c>
      <c r="L64" s="6">
        <v>46080</v>
      </c>
      <c r="M64" s="6">
        <v>46080</v>
      </c>
      <c r="N64" s="1" t="str">
        <f>IF(FACILITIES[[#This Row],[DATA FINALIZAÇÃO]]&lt;&gt;0,"Finalizado",IF(FACILITIES[[#This Row],[DATA INICIO]]&lt;&gt;0,"Em andamento","Pendente"))</f>
        <v>Finalizado</v>
      </c>
      <c r="O64" s="10">
        <f>IF(FACILITIES[[#This Row],[DATA FINALIZAÇÃO]]-FACILITIES[[#This Row],[DATA INICIO]]&lt;0,0,INT(FACILITIES[[#This Row],[DATA FINALIZAÇÃO]]-FACILITIES[[#This Row],[DATA INICIO]]))</f>
        <v>0</v>
      </c>
      <c r="P64" s="1" t="s">
        <v>70</v>
      </c>
      <c r="Q64" s="1" t="s">
        <v>71</v>
      </c>
      <c r="R64" s="9">
        <v>1480</v>
      </c>
      <c r="S64" t="s">
        <v>158</v>
      </c>
    </row>
    <row r="65" spans="1:20" x14ac:dyDescent="0.35">
      <c r="A65" s="1">
        <f t="shared" si="0"/>
        <v>63</v>
      </c>
      <c r="B65" s="1">
        <v>1</v>
      </c>
      <c r="C65" t="s">
        <v>134</v>
      </c>
      <c r="D65" t="s">
        <v>4</v>
      </c>
      <c r="E65" s="3">
        <v>46048</v>
      </c>
      <c r="F65" s="1" t="s">
        <v>79</v>
      </c>
      <c r="G65" s="1" cm="1">
        <f t="array" ref="G65">IFERROR(_xlfn.IFS(FACILITIES[[#This Row],[MÊS]]="JANEIRO",1,FACILITIES[[#This Row],[MÊS]]="FEVEREIRO",2,FACILITIES[[#This Row],[MÊS]]="MARÇO",3,FACILITIES[[#This Row],[MÊS]]="ABRIL",4,FACILITIES[[#This Row],[MÊS]]="MAIO",5,FACILITIES[[#This Row],[MÊS]]="JUNHO",6,FACILITIES[[#This Row],[MÊS]]="JULHO",7,FACILITIES[[#This Row],[MÊS]]="AGOSTO",8,FACILITIES[[#This Row],[MÊS]]="SETEMBRO",9,FACILITIES[[#This Row],[MÊS]]="OUTUBRO",10,FACILITIES[[#This Row],[MÊS]]="NOVEMBRO",11,FACILITIES[[#This Row],[MÊS]]="DEZEMBRO",12),"")</f>
        <v>1</v>
      </c>
      <c r="H65" s="1">
        <v>2026</v>
      </c>
      <c r="I65" t="s">
        <v>58</v>
      </c>
      <c r="J65" t="s">
        <v>64</v>
      </c>
      <c r="K65" t="s">
        <v>66</v>
      </c>
      <c r="L65" s="6">
        <v>46048</v>
      </c>
      <c r="M65" s="6">
        <v>46065</v>
      </c>
      <c r="N65" s="1" t="str">
        <f>IF(FACILITIES[[#This Row],[DATA FINALIZAÇÃO]]&lt;&gt;0,"Finalizado",IF(FACILITIES[[#This Row],[DATA INICIO]]&lt;&gt;0,"Em andamento","Pendente"))</f>
        <v>Finalizado</v>
      </c>
      <c r="O65" s="10">
        <f>IF(FACILITIES[[#This Row],[DATA FINALIZAÇÃO]]-FACILITIES[[#This Row],[DATA INICIO]]&lt;0,0,INT(FACILITIES[[#This Row],[DATA FINALIZAÇÃO]]-FACILITIES[[#This Row],[DATA INICIO]]))</f>
        <v>17</v>
      </c>
      <c r="P65" s="1" t="s">
        <v>70</v>
      </c>
      <c r="Q65" s="1" t="s">
        <v>71</v>
      </c>
      <c r="R65" s="9">
        <v>1765.8</v>
      </c>
      <c r="S65" t="s">
        <v>166</v>
      </c>
      <c r="T65" t="s">
        <v>157</v>
      </c>
    </row>
    <row r="66" spans="1:20" x14ac:dyDescent="0.35">
      <c r="A66" s="1">
        <f t="shared" si="0"/>
        <v>64</v>
      </c>
      <c r="B66" s="1">
        <v>1</v>
      </c>
      <c r="C66" t="s">
        <v>107</v>
      </c>
      <c r="D66" t="s">
        <v>18</v>
      </c>
      <c r="E66" s="3">
        <v>46052</v>
      </c>
      <c r="F66" s="1" t="s">
        <v>79</v>
      </c>
      <c r="G66" s="1" cm="1">
        <f t="array" ref="G66">IFERROR(_xlfn.IFS(FACILITIES[[#This Row],[MÊS]]="JANEIRO",1,FACILITIES[[#This Row],[MÊS]]="FEVEREIRO",2,FACILITIES[[#This Row],[MÊS]]="MARÇO",3,FACILITIES[[#This Row],[MÊS]]="ABRIL",4,FACILITIES[[#This Row],[MÊS]]="MAIO",5,FACILITIES[[#This Row],[MÊS]]="JUNHO",6,FACILITIES[[#This Row],[MÊS]]="JULHO",7,FACILITIES[[#This Row],[MÊS]]="AGOSTO",8,FACILITIES[[#This Row],[MÊS]]="SETEMBRO",9,FACILITIES[[#This Row],[MÊS]]="OUTUBRO",10,FACILITIES[[#This Row],[MÊS]]="NOVEMBRO",11,FACILITIES[[#This Row],[MÊS]]="DEZEMBRO",12),"")</f>
        <v>1</v>
      </c>
      <c r="H66" s="1">
        <v>2026</v>
      </c>
      <c r="I66" t="s">
        <v>39</v>
      </c>
      <c r="J66" t="s">
        <v>64</v>
      </c>
      <c r="K66" t="s">
        <v>67</v>
      </c>
      <c r="L66" s="6">
        <v>46052</v>
      </c>
      <c r="M66" s="6">
        <v>46052</v>
      </c>
      <c r="N66" s="1" t="str">
        <f>IF(FACILITIES[[#This Row],[DATA FINALIZAÇÃO]]&lt;&gt;0,"Finalizado",IF(FACILITIES[[#This Row],[DATA INICIO]]&lt;&gt;0,"Em andamento","Pendente"))</f>
        <v>Finalizado</v>
      </c>
      <c r="O66" s="10">
        <f>IF(FACILITIES[[#This Row],[DATA FINALIZAÇÃO]]-FACILITIES[[#This Row],[DATA INICIO]]&lt;0,0,INT(FACILITIES[[#This Row],[DATA FINALIZAÇÃO]]-FACILITIES[[#This Row],[DATA INICIO]]))</f>
        <v>0</v>
      </c>
      <c r="P66" s="1" t="s">
        <v>70</v>
      </c>
      <c r="Q66" s="1" t="s">
        <v>71</v>
      </c>
      <c r="R66" s="9">
        <v>0.01</v>
      </c>
      <c r="S66" t="s">
        <v>191</v>
      </c>
      <c r="T66" t="s">
        <v>151</v>
      </c>
    </row>
    <row r="67" spans="1:20" x14ac:dyDescent="0.35">
      <c r="A67" s="1">
        <f t="shared" si="0"/>
        <v>65</v>
      </c>
      <c r="B67" s="1">
        <v>1</v>
      </c>
      <c r="C67" t="s">
        <v>88</v>
      </c>
      <c r="D67" t="s">
        <v>12</v>
      </c>
      <c r="E67" s="3">
        <v>46054</v>
      </c>
      <c r="F67" s="1" t="s">
        <v>80</v>
      </c>
      <c r="G67" s="1" cm="1">
        <f t="array" ref="G67">IFERROR(_xlfn.IFS(FACILITIES[[#This Row],[MÊS]]="JANEIRO",1,FACILITIES[[#This Row],[MÊS]]="FEVEREIRO",2,FACILITIES[[#This Row],[MÊS]]="MARÇO",3,FACILITIES[[#This Row],[MÊS]]="ABRIL",4,FACILITIES[[#This Row],[MÊS]]="MAIO",5,FACILITIES[[#This Row],[MÊS]]="JUNHO",6,FACILITIES[[#This Row],[MÊS]]="JULHO",7,FACILITIES[[#This Row],[MÊS]]="AGOSTO",8,FACILITIES[[#This Row],[MÊS]]="SETEMBRO",9,FACILITIES[[#This Row],[MÊS]]="OUTUBRO",10,FACILITIES[[#This Row],[MÊS]]="NOVEMBRO",11,FACILITIES[[#This Row],[MÊS]]="DEZEMBRO",12),"")</f>
        <v>2</v>
      </c>
      <c r="H67" s="1">
        <v>2026</v>
      </c>
      <c r="I67" t="s">
        <v>41</v>
      </c>
      <c r="J67" t="s">
        <v>64</v>
      </c>
      <c r="K67" t="s">
        <v>67</v>
      </c>
      <c r="L67" s="6">
        <v>46024</v>
      </c>
      <c r="M67" s="6">
        <v>46024</v>
      </c>
      <c r="N67" s="1" t="str">
        <f>IF(FACILITIES[[#This Row],[DATA FINALIZAÇÃO]]&lt;&gt;0,"Finalizado",IF(FACILITIES[[#This Row],[DATA INICIO]]&lt;&gt;0,"Em andamento","Pendente"))</f>
        <v>Finalizado</v>
      </c>
      <c r="O67" s="10">
        <f>IF(FACILITIES[[#This Row],[DATA FINALIZAÇÃO]]-FACILITIES[[#This Row],[DATA INICIO]]&lt;0,0,INT(FACILITIES[[#This Row],[DATA FINALIZAÇÃO]]-FACILITIES[[#This Row],[DATA INICIO]]))</f>
        <v>0</v>
      </c>
      <c r="P67" s="1" t="s">
        <v>70</v>
      </c>
      <c r="Q67" s="1" t="s">
        <v>70</v>
      </c>
      <c r="R67" s="9">
        <v>1E-3</v>
      </c>
      <c r="S67" t="s">
        <v>192</v>
      </c>
      <c r="T67" t="s">
        <v>150</v>
      </c>
    </row>
    <row r="68" spans="1:20" x14ac:dyDescent="0.35">
      <c r="A68" s="1">
        <f t="shared" ref="A68:A86" si="1">ROW(A66)</f>
        <v>66</v>
      </c>
      <c r="B68" s="1">
        <v>1</v>
      </c>
      <c r="C68" t="s">
        <v>97</v>
      </c>
      <c r="D68" t="s">
        <v>21</v>
      </c>
      <c r="E68" s="3">
        <v>46055</v>
      </c>
      <c r="F68" s="1" t="s">
        <v>80</v>
      </c>
      <c r="G68" s="1" cm="1">
        <f t="array" ref="G68">IFERROR(_xlfn.IFS(FACILITIES[[#This Row],[MÊS]]="JANEIRO",1,FACILITIES[[#This Row],[MÊS]]="FEVEREIRO",2,FACILITIES[[#This Row],[MÊS]]="MARÇO",3,FACILITIES[[#This Row],[MÊS]]="ABRIL",4,FACILITIES[[#This Row],[MÊS]]="MAIO",5,FACILITIES[[#This Row],[MÊS]]="JUNHO",6,FACILITIES[[#This Row],[MÊS]]="JULHO",7,FACILITIES[[#This Row],[MÊS]]="AGOSTO",8,FACILITIES[[#This Row],[MÊS]]="SETEMBRO",9,FACILITIES[[#This Row],[MÊS]]="OUTUBRO",10,FACILITIES[[#This Row],[MÊS]]="NOVEMBRO",11,FACILITIES[[#This Row],[MÊS]]="DEZEMBRO",12),"")</f>
        <v>2</v>
      </c>
      <c r="H68" s="1">
        <v>2026</v>
      </c>
      <c r="I68" t="s">
        <v>58</v>
      </c>
      <c r="J68" t="s">
        <v>64</v>
      </c>
      <c r="K68" t="s">
        <v>66</v>
      </c>
      <c r="L68" s="6">
        <v>46055</v>
      </c>
      <c r="M68" s="6">
        <v>46062</v>
      </c>
      <c r="N68" s="1" t="str">
        <f>IF(FACILITIES[[#This Row],[DATA FINALIZAÇÃO]]&lt;&gt;0,"Finalizado",IF(FACILITIES[[#This Row],[DATA INICIO]]&lt;&gt;0,"Em andamento","Pendente"))</f>
        <v>Finalizado</v>
      </c>
      <c r="O68" s="10">
        <f>IF(FACILITIES[[#This Row],[DATA FINALIZAÇÃO]]-FACILITIES[[#This Row],[DATA INICIO]]&lt;0,0,INT(FACILITIES[[#This Row],[DATA FINALIZAÇÃO]]-FACILITIES[[#This Row],[DATA INICIO]]))</f>
        <v>7</v>
      </c>
      <c r="P68" s="1" t="s">
        <v>70</v>
      </c>
      <c r="Q68" s="1" t="s">
        <v>71</v>
      </c>
      <c r="R68" s="9">
        <v>1878.39</v>
      </c>
      <c r="S68" t="s">
        <v>165</v>
      </c>
      <c r="T68" t="s">
        <v>164</v>
      </c>
    </row>
    <row r="69" spans="1:20" x14ac:dyDescent="0.35">
      <c r="A69" s="1">
        <f t="shared" si="1"/>
        <v>67</v>
      </c>
      <c r="B69" s="1">
        <v>1</v>
      </c>
      <c r="C69" t="s">
        <v>107</v>
      </c>
      <c r="D69" t="s">
        <v>18</v>
      </c>
      <c r="E69" s="3">
        <v>46057</v>
      </c>
      <c r="F69" s="1" t="s">
        <v>80</v>
      </c>
      <c r="G69" s="1" cm="1">
        <f t="array" ref="G69">IFERROR(_xlfn.IFS(FACILITIES[[#This Row],[MÊS]]="JANEIRO",1,FACILITIES[[#This Row],[MÊS]]="FEVEREIRO",2,FACILITIES[[#This Row],[MÊS]]="MARÇO",3,FACILITIES[[#This Row],[MÊS]]="ABRIL",4,FACILITIES[[#This Row],[MÊS]]="MAIO",5,FACILITIES[[#This Row],[MÊS]]="JUNHO",6,FACILITIES[[#This Row],[MÊS]]="JULHO",7,FACILITIES[[#This Row],[MÊS]]="AGOSTO",8,FACILITIES[[#This Row],[MÊS]]="SETEMBRO",9,FACILITIES[[#This Row],[MÊS]]="OUTUBRO",10,FACILITIES[[#This Row],[MÊS]]="NOVEMBRO",11,FACILITIES[[#This Row],[MÊS]]="DEZEMBRO",12),"")</f>
        <v>2</v>
      </c>
      <c r="H69" s="1">
        <v>2026</v>
      </c>
      <c r="I69" t="s">
        <v>63</v>
      </c>
      <c r="J69" t="s">
        <v>64</v>
      </c>
      <c r="K69" t="s">
        <v>67</v>
      </c>
      <c r="L69" s="6">
        <v>46057</v>
      </c>
      <c r="M69" s="6">
        <v>46058</v>
      </c>
      <c r="N69" s="1" t="str">
        <f>IF(FACILITIES[[#This Row],[DATA FINALIZAÇÃO]]&lt;&gt;0,"Finalizado",IF(FACILITIES[[#This Row],[DATA INICIO]]&lt;&gt;0,"Em andamento","Pendente"))</f>
        <v>Finalizado</v>
      </c>
      <c r="O69" s="10">
        <f>IF(FACILITIES[[#This Row],[DATA FINALIZAÇÃO]]-FACILITIES[[#This Row],[DATA INICIO]]&lt;0,0,INT(FACILITIES[[#This Row],[DATA FINALIZAÇÃO]]-FACILITIES[[#This Row],[DATA INICIO]]))</f>
        <v>1</v>
      </c>
      <c r="P69" s="1" t="s">
        <v>70</v>
      </c>
      <c r="Q69" s="1" t="s">
        <v>71</v>
      </c>
      <c r="R69" s="9">
        <v>772</v>
      </c>
      <c r="S69" t="s">
        <v>168</v>
      </c>
      <c r="T69" t="s">
        <v>167</v>
      </c>
    </row>
    <row r="70" spans="1:20" x14ac:dyDescent="0.35">
      <c r="A70" s="1">
        <f t="shared" si="1"/>
        <v>68</v>
      </c>
      <c r="B70" s="1">
        <v>1</v>
      </c>
      <c r="C70" t="s">
        <v>152</v>
      </c>
      <c r="D70" t="s">
        <v>15</v>
      </c>
      <c r="E70" s="3">
        <v>46058</v>
      </c>
      <c r="F70" s="1" t="s">
        <v>80</v>
      </c>
      <c r="G70" s="1" cm="1">
        <f t="array" ref="G70">IFERROR(_xlfn.IFS(FACILITIES[[#This Row],[MÊS]]="JANEIRO",1,FACILITIES[[#This Row],[MÊS]]="FEVEREIRO",2,FACILITIES[[#This Row],[MÊS]]="MARÇO",3,FACILITIES[[#This Row],[MÊS]]="ABRIL",4,FACILITIES[[#This Row],[MÊS]]="MAIO",5,FACILITIES[[#This Row],[MÊS]]="JUNHO",6,FACILITIES[[#This Row],[MÊS]]="JULHO",7,FACILITIES[[#This Row],[MÊS]]="AGOSTO",8,FACILITIES[[#This Row],[MÊS]]="SETEMBRO",9,FACILITIES[[#This Row],[MÊS]]="OUTUBRO",10,FACILITIES[[#This Row],[MÊS]]="NOVEMBRO",11,FACILITIES[[#This Row],[MÊS]]="DEZEMBRO",12),"")</f>
        <v>2</v>
      </c>
      <c r="H70" s="1">
        <v>2026</v>
      </c>
      <c r="I70" t="s">
        <v>128</v>
      </c>
      <c r="J70" t="s">
        <v>64</v>
      </c>
      <c r="K70" t="s">
        <v>67</v>
      </c>
      <c r="L70" s="6">
        <v>46058</v>
      </c>
      <c r="M70" s="6">
        <v>46058</v>
      </c>
      <c r="N70" s="1" t="str">
        <f>IF(FACILITIES[[#This Row],[DATA FINALIZAÇÃO]]&lt;&gt;0,"Finalizado",IF(FACILITIES[[#This Row],[DATA INICIO]]&lt;&gt;0,"Em andamento","Pendente"))</f>
        <v>Finalizado</v>
      </c>
      <c r="O70" s="10">
        <f>IF(FACILITIES[[#This Row],[DATA FINALIZAÇÃO]]-FACILITIES[[#This Row],[DATA INICIO]]&lt;0,0,INT(FACILITIES[[#This Row],[DATA FINALIZAÇÃO]]-FACILITIES[[#This Row],[DATA INICIO]]))</f>
        <v>0</v>
      </c>
      <c r="P70" s="1" t="s">
        <v>70</v>
      </c>
      <c r="Q70" s="1" t="s">
        <v>71</v>
      </c>
      <c r="R70" s="9">
        <v>76.900000000000006</v>
      </c>
      <c r="S70" t="s">
        <v>209</v>
      </c>
      <c r="T70" t="s">
        <v>169</v>
      </c>
    </row>
    <row r="71" spans="1:20" x14ac:dyDescent="0.35">
      <c r="A71" s="1">
        <f t="shared" si="1"/>
        <v>69</v>
      </c>
      <c r="B71" s="1">
        <v>1</v>
      </c>
      <c r="C71" t="s">
        <v>98</v>
      </c>
      <c r="D71" t="s">
        <v>12</v>
      </c>
      <c r="E71" s="3">
        <v>46063</v>
      </c>
      <c r="F71" s="1" t="s">
        <v>80</v>
      </c>
      <c r="G71" s="1" cm="1">
        <f t="array" ref="G71">IFERROR(_xlfn.IFS(FACILITIES[[#This Row],[MÊS]]="JANEIRO",1,FACILITIES[[#This Row],[MÊS]]="FEVEREIRO",2,FACILITIES[[#This Row],[MÊS]]="MARÇO",3,FACILITIES[[#This Row],[MÊS]]="ABRIL",4,FACILITIES[[#This Row],[MÊS]]="MAIO",5,FACILITIES[[#This Row],[MÊS]]="JUNHO",6,FACILITIES[[#This Row],[MÊS]]="JULHO",7,FACILITIES[[#This Row],[MÊS]]="AGOSTO",8,FACILITIES[[#This Row],[MÊS]]="SETEMBRO",9,FACILITIES[[#This Row],[MÊS]]="OUTUBRO",10,FACILITIES[[#This Row],[MÊS]]="NOVEMBRO",11,FACILITIES[[#This Row],[MÊS]]="DEZEMBRO",12),"")</f>
        <v>2</v>
      </c>
      <c r="H71" s="1">
        <v>2026</v>
      </c>
      <c r="I71" t="s">
        <v>41</v>
      </c>
      <c r="J71" t="s">
        <v>64</v>
      </c>
      <c r="K71" t="s">
        <v>67</v>
      </c>
      <c r="L71" s="6">
        <v>46063</v>
      </c>
      <c r="M71" s="6">
        <v>46064</v>
      </c>
      <c r="N71" s="1" t="str">
        <f>IF(FACILITIES[[#This Row],[DATA FINALIZAÇÃO]]&lt;&gt;0,"Finalizado",IF(FACILITIES[[#This Row],[DATA INICIO]]&lt;&gt;0,"Em andamento","Pendente"))</f>
        <v>Finalizado</v>
      </c>
      <c r="O71" s="10">
        <f>IF(FACILITIES[[#This Row],[DATA FINALIZAÇÃO]]-FACILITIES[[#This Row],[DATA INICIO]]&lt;0,0,INT(FACILITIES[[#This Row],[DATA FINALIZAÇÃO]]-FACILITIES[[#This Row],[DATA INICIO]]))</f>
        <v>1</v>
      </c>
      <c r="P71" s="1" t="s">
        <v>70</v>
      </c>
      <c r="Q71" s="1" t="s">
        <v>70</v>
      </c>
      <c r="R71" s="9">
        <v>320</v>
      </c>
      <c r="S71" t="s">
        <v>170</v>
      </c>
      <c r="T71" t="s">
        <v>153</v>
      </c>
    </row>
    <row r="72" spans="1:20" x14ac:dyDescent="0.35">
      <c r="A72" s="1">
        <f t="shared" si="1"/>
        <v>70</v>
      </c>
      <c r="B72" s="1">
        <v>1</v>
      </c>
      <c r="C72" t="s">
        <v>148</v>
      </c>
      <c r="D72" t="s">
        <v>21</v>
      </c>
      <c r="E72" s="3">
        <v>46063</v>
      </c>
      <c r="F72" s="1" t="s">
        <v>80</v>
      </c>
      <c r="G72" s="1" cm="1">
        <f t="array" ref="G72">IFERROR(_xlfn.IFS(FACILITIES[[#This Row],[MÊS]]="JANEIRO",1,FACILITIES[[#This Row],[MÊS]]="FEVEREIRO",2,FACILITIES[[#This Row],[MÊS]]="MARÇO",3,FACILITIES[[#This Row],[MÊS]]="ABRIL",4,FACILITIES[[#This Row],[MÊS]]="MAIO",5,FACILITIES[[#This Row],[MÊS]]="JUNHO",6,FACILITIES[[#This Row],[MÊS]]="JULHO",7,FACILITIES[[#This Row],[MÊS]]="AGOSTO",8,FACILITIES[[#This Row],[MÊS]]="SETEMBRO",9,FACILITIES[[#This Row],[MÊS]]="OUTUBRO",10,FACILITIES[[#This Row],[MÊS]]="NOVEMBRO",11,FACILITIES[[#This Row],[MÊS]]="DEZEMBRO",12),"")</f>
        <v>2</v>
      </c>
      <c r="H72" s="1">
        <v>2026</v>
      </c>
      <c r="I72" t="s">
        <v>41</v>
      </c>
      <c r="J72" t="s">
        <v>64</v>
      </c>
      <c r="K72" t="s">
        <v>67</v>
      </c>
      <c r="L72" s="6">
        <v>46064</v>
      </c>
      <c r="M72" s="6">
        <v>46064</v>
      </c>
      <c r="N72" s="1" t="str">
        <f>IF(FACILITIES[[#This Row],[DATA FINALIZAÇÃO]]&lt;&gt;0,"Finalizado",IF(FACILITIES[[#This Row],[DATA INICIO]]&lt;&gt;0,"Em andamento","Pendente"))</f>
        <v>Finalizado</v>
      </c>
      <c r="O72" s="10">
        <f>IF(FACILITIES[[#This Row],[DATA FINALIZAÇÃO]]-FACILITIES[[#This Row],[DATA INICIO]]&lt;0,0,INT(FACILITIES[[#This Row],[DATA FINALIZAÇÃO]]-FACILITIES[[#This Row],[DATA INICIO]]))</f>
        <v>0</v>
      </c>
      <c r="P72" s="1" t="s">
        <v>70</v>
      </c>
      <c r="Q72" s="1" t="s">
        <v>71</v>
      </c>
      <c r="R72" s="9">
        <v>0.01</v>
      </c>
      <c r="S72" t="s">
        <v>171</v>
      </c>
    </row>
    <row r="73" spans="1:20" x14ac:dyDescent="0.35">
      <c r="A73" s="1">
        <f t="shared" si="1"/>
        <v>71</v>
      </c>
      <c r="B73" s="1">
        <v>1</v>
      </c>
      <c r="C73" t="s">
        <v>89</v>
      </c>
      <c r="D73" t="s">
        <v>26</v>
      </c>
      <c r="E73" s="3">
        <v>46065</v>
      </c>
      <c r="F73" s="1" t="s">
        <v>80</v>
      </c>
      <c r="G73" s="1" cm="1">
        <f t="array" ref="G73">IFERROR(_xlfn.IFS(FACILITIES[[#This Row],[MÊS]]="JANEIRO",1,FACILITIES[[#This Row],[MÊS]]="FEVEREIRO",2,FACILITIES[[#This Row],[MÊS]]="MARÇO",3,FACILITIES[[#This Row],[MÊS]]="ABRIL",4,FACILITIES[[#This Row],[MÊS]]="MAIO",5,FACILITIES[[#This Row],[MÊS]]="JUNHO",6,FACILITIES[[#This Row],[MÊS]]="JULHO",7,FACILITIES[[#This Row],[MÊS]]="AGOSTO",8,FACILITIES[[#This Row],[MÊS]]="SETEMBRO",9,FACILITIES[[#This Row],[MÊS]]="OUTUBRO",10,FACILITIES[[#This Row],[MÊS]]="NOVEMBRO",11,FACILITIES[[#This Row],[MÊS]]="DEZEMBRO",12),"")</f>
        <v>2</v>
      </c>
      <c r="H73" s="1">
        <v>2026</v>
      </c>
      <c r="I73" t="s">
        <v>91</v>
      </c>
      <c r="J73" t="s">
        <v>64</v>
      </c>
      <c r="K73" t="s">
        <v>67</v>
      </c>
      <c r="L73" s="6">
        <v>46065</v>
      </c>
      <c r="M73" s="6">
        <v>46073</v>
      </c>
      <c r="N73" s="1" t="str">
        <f>IF(FACILITIES[[#This Row],[DATA FINALIZAÇÃO]]&lt;&gt;0,"Finalizado",IF(FACILITIES[[#This Row],[DATA INICIO]]&lt;&gt;0,"Em andamento","Pendente"))</f>
        <v>Finalizado</v>
      </c>
      <c r="O73" s="10">
        <f>IF(FACILITIES[[#This Row],[DATA FINALIZAÇÃO]]-FACILITIES[[#This Row],[DATA INICIO]]&lt;0,0,INT(FACILITIES[[#This Row],[DATA FINALIZAÇÃO]]-FACILITIES[[#This Row],[DATA INICIO]]))</f>
        <v>8</v>
      </c>
      <c r="P73" s="1" t="s">
        <v>70</v>
      </c>
      <c r="Q73" s="1" t="s">
        <v>71</v>
      </c>
      <c r="R73" s="9">
        <v>620.39</v>
      </c>
      <c r="S73" t="s">
        <v>177</v>
      </c>
      <c r="T73" t="s">
        <v>176</v>
      </c>
    </row>
    <row r="74" spans="1:20" x14ac:dyDescent="0.35">
      <c r="A74" s="1">
        <f t="shared" si="1"/>
        <v>72</v>
      </c>
      <c r="B74" s="1">
        <v>1</v>
      </c>
      <c r="C74" t="s">
        <v>89</v>
      </c>
      <c r="D74" t="s">
        <v>26</v>
      </c>
      <c r="E74" s="3">
        <v>46064</v>
      </c>
      <c r="F74" s="1" t="s">
        <v>80</v>
      </c>
      <c r="G74" s="1" cm="1">
        <f t="array" ref="G74">IFERROR(_xlfn.IFS(FACILITIES[[#This Row],[MÊS]]="JANEIRO",1,FACILITIES[[#This Row],[MÊS]]="FEVEREIRO",2,FACILITIES[[#This Row],[MÊS]]="MARÇO",3,FACILITIES[[#This Row],[MÊS]]="ABRIL",4,FACILITIES[[#This Row],[MÊS]]="MAIO",5,FACILITIES[[#This Row],[MÊS]]="JUNHO",6,FACILITIES[[#This Row],[MÊS]]="JULHO",7,FACILITIES[[#This Row],[MÊS]]="AGOSTO",8,FACILITIES[[#This Row],[MÊS]]="SETEMBRO",9,FACILITIES[[#This Row],[MÊS]]="OUTUBRO",10,FACILITIES[[#This Row],[MÊS]]="NOVEMBRO",11,FACILITIES[[#This Row],[MÊS]]="DEZEMBRO",12),"")</f>
        <v>2</v>
      </c>
      <c r="H74" s="1">
        <v>2026</v>
      </c>
      <c r="I74" t="s">
        <v>128</v>
      </c>
      <c r="J74" t="s">
        <v>64</v>
      </c>
      <c r="K74" t="s">
        <v>67</v>
      </c>
      <c r="L74" s="6">
        <v>46368</v>
      </c>
      <c r="M74" s="6">
        <v>46065</v>
      </c>
      <c r="N74" s="1" t="str">
        <f>IF(FACILITIES[[#This Row],[DATA FINALIZAÇÃO]]&lt;&gt;0,"Finalizado",IF(FACILITIES[[#This Row],[DATA INICIO]]&lt;&gt;0,"Em andamento","Pendente"))</f>
        <v>Finalizado</v>
      </c>
      <c r="O74" s="10">
        <f>IF(FACILITIES[[#This Row],[DATA FINALIZAÇÃO]]-FACILITIES[[#This Row],[DATA INICIO]]&lt;0,0,INT(FACILITIES[[#This Row],[DATA FINALIZAÇÃO]]-FACILITIES[[#This Row],[DATA INICIO]]))</f>
        <v>0</v>
      </c>
      <c r="P74" s="1" t="s">
        <v>70</v>
      </c>
      <c r="Q74" s="1" t="s">
        <v>70</v>
      </c>
      <c r="R74" s="9">
        <v>445</v>
      </c>
      <c r="S74" t="s">
        <v>175</v>
      </c>
      <c r="T74" t="s">
        <v>174</v>
      </c>
    </row>
    <row r="75" spans="1:20" x14ac:dyDescent="0.35">
      <c r="A75" s="1">
        <f t="shared" si="1"/>
        <v>73</v>
      </c>
      <c r="B75" s="1">
        <v>1</v>
      </c>
      <c r="C75" t="s">
        <v>155</v>
      </c>
      <c r="D75" t="s">
        <v>8</v>
      </c>
      <c r="E75" s="3">
        <v>46059</v>
      </c>
      <c r="F75" s="1" t="s">
        <v>80</v>
      </c>
      <c r="G75" s="1" cm="1">
        <f t="array" ref="G75">IFERROR(_xlfn.IFS(FACILITIES[[#This Row],[MÊS]]="JANEIRO",1,FACILITIES[[#This Row],[MÊS]]="FEVEREIRO",2,FACILITIES[[#This Row],[MÊS]]="MARÇO",3,FACILITIES[[#This Row],[MÊS]]="ABRIL",4,FACILITIES[[#This Row],[MÊS]]="MAIO",5,FACILITIES[[#This Row],[MÊS]]="JUNHO",6,FACILITIES[[#This Row],[MÊS]]="JULHO",7,FACILITIES[[#This Row],[MÊS]]="AGOSTO",8,FACILITIES[[#This Row],[MÊS]]="SETEMBRO",9,FACILITIES[[#This Row],[MÊS]]="OUTUBRO",10,FACILITIES[[#This Row],[MÊS]]="NOVEMBRO",11,FACILITIES[[#This Row],[MÊS]]="DEZEMBRO",12),"")</f>
        <v>2</v>
      </c>
      <c r="H75" s="1">
        <v>2026</v>
      </c>
      <c r="I75" t="s">
        <v>40</v>
      </c>
      <c r="J75" t="s">
        <v>64</v>
      </c>
      <c r="K75" t="s">
        <v>67</v>
      </c>
      <c r="L75" s="6">
        <v>46059</v>
      </c>
      <c r="M75" s="6">
        <v>46065</v>
      </c>
      <c r="N75" s="1" t="str">
        <f>IF(FACILITIES[[#This Row],[DATA FINALIZAÇÃO]]&lt;&gt;0,"Finalizado",IF(FACILITIES[[#This Row],[DATA INICIO]]&lt;&gt;0,"Em andamento","Pendente"))</f>
        <v>Finalizado</v>
      </c>
      <c r="O75" s="10">
        <f>IF(FACILITIES[[#This Row],[DATA FINALIZAÇÃO]]-FACILITIES[[#This Row],[DATA INICIO]]&lt;0,0,INT(FACILITIES[[#This Row],[DATA FINALIZAÇÃO]]-FACILITIES[[#This Row],[DATA INICIO]]))</f>
        <v>6</v>
      </c>
      <c r="P75" s="1" t="s">
        <v>70</v>
      </c>
      <c r="Q75" s="1" t="s">
        <v>71</v>
      </c>
      <c r="R75" s="9">
        <v>445</v>
      </c>
      <c r="S75" t="s">
        <v>173</v>
      </c>
      <c r="T75" t="s">
        <v>172</v>
      </c>
    </row>
    <row r="76" spans="1:20" x14ac:dyDescent="0.35">
      <c r="A76" s="1">
        <f t="shared" si="1"/>
        <v>74</v>
      </c>
      <c r="B76" s="1">
        <v>1</v>
      </c>
      <c r="C76" t="s">
        <v>89</v>
      </c>
      <c r="D76" t="s">
        <v>26</v>
      </c>
      <c r="E76" s="3">
        <v>46080</v>
      </c>
      <c r="F76" s="1" t="s">
        <v>80</v>
      </c>
      <c r="G76" s="1" cm="1">
        <f t="array" ref="G76">IFERROR(_xlfn.IFS(FACILITIES[[#This Row],[MÊS]]="JANEIRO",1,FACILITIES[[#This Row],[MÊS]]="FEVEREIRO",2,FACILITIES[[#This Row],[MÊS]]="MARÇO",3,FACILITIES[[#This Row],[MÊS]]="ABRIL",4,FACILITIES[[#This Row],[MÊS]]="MAIO",5,FACILITIES[[#This Row],[MÊS]]="JUNHO",6,FACILITIES[[#This Row],[MÊS]]="JULHO",7,FACILITIES[[#This Row],[MÊS]]="AGOSTO",8,FACILITIES[[#This Row],[MÊS]]="SETEMBRO",9,FACILITIES[[#This Row],[MÊS]]="OUTUBRO",10,FACILITIES[[#This Row],[MÊS]]="NOVEMBRO",11,FACILITIES[[#This Row],[MÊS]]="DEZEMBRO",12),"")</f>
        <v>2</v>
      </c>
      <c r="H76" s="1">
        <v>2026</v>
      </c>
      <c r="I76" t="s">
        <v>41</v>
      </c>
      <c r="J76" t="s">
        <v>64</v>
      </c>
      <c r="K76" t="s">
        <v>69</v>
      </c>
      <c r="L76" s="6">
        <v>46080</v>
      </c>
      <c r="M76" s="6">
        <v>46080</v>
      </c>
      <c r="N76" s="1" t="str">
        <f>IF(FACILITIES[[#This Row],[DATA FINALIZAÇÃO]]&lt;&gt;0,"Finalizado",IF(FACILITIES[[#This Row],[DATA INICIO]]&lt;&gt;0,"Em andamento","Pendente"))</f>
        <v>Finalizado</v>
      </c>
      <c r="O76" s="10">
        <f>IF(FACILITIES[[#This Row],[DATA FINALIZAÇÃO]]-FACILITIES[[#This Row],[DATA INICIO]]&lt;0,0,INT(FACILITIES[[#This Row],[DATA FINALIZAÇÃO]]-FACILITIES[[#This Row],[DATA INICIO]]))</f>
        <v>0</v>
      </c>
      <c r="P76" s="1" t="s">
        <v>70</v>
      </c>
      <c r="Q76" s="1" t="s">
        <v>70</v>
      </c>
      <c r="R76" s="9">
        <v>1E-3</v>
      </c>
      <c r="S76" t="s">
        <v>171</v>
      </c>
    </row>
    <row r="77" spans="1:20" x14ac:dyDescent="0.35">
      <c r="A77" s="1">
        <f t="shared" si="1"/>
        <v>75</v>
      </c>
      <c r="B77" s="1">
        <v>1</v>
      </c>
      <c r="C77" t="s">
        <v>89</v>
      </c>
      <c r="D77" t="s">
        <v>26</v>
      </c>
      <c r="E77" s="3">
        <v>46473</v>
      </c>
      <c r="F77" s="1" t="s">
        <v>81</v>
      </c>
      <c r="G77" s="1" cm="1">
        <f t="array" ref="G77">IFERROR(_xlfn.IFS(FACILITIES[[#This Row],[MÊS]]="JANEIRO",1,FACILITIES[[#This Row],[MÊS]]="FEVEREIRO",2,FACILITIES[[#This Row],[MÊS]]="MARÇO",3,FACILITIES[[#This Row],[MÊS]]="ABRIL",4,FACILITIES[[#This Row],[MÊS]]="MAIO",5,FACILITIES[[#This Row],[MÊS]]="JUNHO",6,FACILITIES[[#This Row],[MÊS]]="JULHO",7,FACILITIES[[#This Row],[MÊS]]="AGOSTO",8,FACILITIES[[#This Row],[MÊS]]="SETEMBRO",9,FACILITIES[[#This Row],[MÊS]]="OUTUBRO",10,FACILITIES[[#This Row],[MÊS]]="NOVEMBRO",11,FACILITIES[[#This Row],[MÊS]]="DEZEMBRO",12),"")</f>
        <v>3</v>
      </c>
      <c r="H77" s="1">
        <v>2026</v>
      </c>
      <c r="I77" t="s">
        <v>41</v>
      </c>
      <c r="J77" t="s">
        <v>64</v>
      </c>
      <c r="K77" t="s">
        <v>69</v>
      </c>
      <c r="L77" s="6">
        <v>46108</v>
      </c>
      <c r="M77" s="6">
        <v>46108</v>
      </c>
      <c r="N77" s="1" t="str">
        <f>IF(FACILITIES[[#This Row],[DATA FINALIZAÇÃO]]&lt;&gt;0,"Finalizado",IF(FACILITIES[[#This Row],[DATA INICIO]]&lt;&gt;0,"Em andamento","Pendente"))</f>
        <v>Finalizado</v>
      </c>
      <c r="O77" s="10">
        <f>IF(FACILITIES[[#This Row],[DATA FINALIZAÇÃO]]-FACILITIES[[#This Row],[DATA INICIO]]&lt;0,0,INT(FACILITIES[[#This Row],[DATA FINALIZAÇÃO]]-FACILITIES[[#This Row],[DATA INICIO]]))</f>
        <v>0</v>
      </c>
      <c r="P77" s="1" t="s">
        <v>70</v>
      </c>
      <c r="Q77" s="1" t="s">
        <v>71</v>
      </c>
      <c r="R77" s="9">
        <v>0.01</v>
      </c>
      <c r="S77" t="s">
        <v>171</v>
      </c>
    </row>
    <row r="78" spans="1:20" x14ac:dyDescent="0.35">
      <c r="A78" s="1">
        <f t="shared" si="1"/>
        <v>76</v>
      </c>
      <c r="B78" s="1">
        <v>1</v>
      </c>
      <c r="C78" t="s">
        <v>89</v>
      </c>
      <c r="D78" t="s">
        <v>26</v>
      </c>
      <c r="E78" s="3">
        <v>46136</v>
      </c>
      <c r="F78" s="1" t="s">
        <v>82</v>
      </c>
      <c r="G78" s="1" cm="1">
        <f t="array" ref="G78">IFERROR(_xlfn.IFS(FACILITIES[[#This Row],[MÊS]]="JANEIRO",1,FACILITIES[[#This Row],[MÊS]]="FEVEREIRO",2,FACILITIES[[#This Row],[MÊS]]="MARÇO",3,FACILITIES[[#This Row],[MÊS]]="ABRIL",4,FACILITIES[[#This Row],[MÊS]]="MAIO",5,FACILITIES[[#This Row],[MÊS]]="JUNHO",6,FACILITIES[[#This Row],[MÊS]]="JULHO",7,FACILITIES[[#This Row],[MÊS]]="AGOSTO",8,FACILITIES[[#This Row],[MÊS]]="SETEMBRO",9,FACILITIES[[#This Row],[MÊS]]="OUTUBRO",10,FACILITIES[[#This Row],[MÊS]]="NOVEMBRO",11,FACILITIES[[#This Row],[MÊS]]="DEZEMBRO",12),"")</f>
        <v>4</v>
      </c>
      <c r="H78" s="1">
        <v>2026</v>
      </c>
      <c r="I78" t="s">
        <v>41</v>
      </c>
      <c r="J78" t="s">
        <v>64</v>
      </c>
      <c r="K78" t="s">
        <v>69</v>
      </c>
      <c r="L78" s="6">
        <v>46136</v>
      </c>
      <c r="M78" s="6">
        <v>46136</v>
      </c>
      <c r="N78" s="1" t="str">
        <f>IF(FACILITIES[[#This Row],[DATA FINALIZAÇÃO]]&lt;&gt;0,"Finalizado",IF(FACILITIES[[#This Row],[DATA INICIO]]&lt;&gt;0,"Em andamento","Pendente"))</f>
        <v>Finalizado</v>
      </c>
      <c r="O78" s="10">
        <f>IF(FACILITIES[[#This Row],[DATA FINALIZAÇÃO]]-FACILITIES[[#This Row],[DATA INICIO]]&lt;0,0,INT(FACILITIES[[#This Row],[DATA FINALIZAÇÃO]]-FACILITIES[[#This Row],[DATA INICIO]]))</f>
        <v>0</v>
      </c>
      <c r="R78" s="9">
        <v>0.01</v>
      </c>
      <c r="S78" t="s">
        <v>171</v>
      </c>
    </row>
    <row r="79" spans="1:20" x14ac:dyDescent="0.35">
      <c r="A79" s="1">
        <f t="shared" si="1"/>
        <v>77</v>
      </c>
      <c r="B79" s="1">
        <v>1</v>
      </c>
      <c r="C79" t="s">
        <v>89</v>
      </c>
      <c r="D79" t="s">
        <v>26</v>
      </c>
      <c r="E79" s="3">
        <v>46163</v>
      </c>
      <c r="F79" s="1" t="s">
        <v>83</v>
      </c>
      <c r="G79" s="1" cm="1">
        <f t="array" ref="G79">IFERROR(_xlfn.IFS(FACILITIES[[#This Row],[MÊS]]="JANEIRO",1,FACILITIES[[#This Row],[MÊS]]="FEVEREIRO",2,FACILITIES[[#This Row],[MÊS]]="MARÇO",3,FACILITIES[[#This Row],[MÊS]]="ABRIL",4,FACILITIES[[#This Row],[MÊS]]="MAIO",5,FACILITIES[[#This Row],[MÊS]]="JUNHO",6,FACILITIES[[#This Row],[MÊS]]="JULHO",7,FACILITIES[[#This Row],[MÊS]]="AGOSTO",8,FACILITIES[[#This Row],[MÊS]]="SETEMBRO",9,FACILITIES[[#This Row],[MÊS]]="OUTUBRO",10,FACILITIES[[#This Row],[MÊS]]="NOVEMBRO",11,FACILITIES[[#This Row],[MÊS]]="DEZEMBRO",12),"")</f>
        <v>5</v>
      </c>
      <c r="H79" s="1">
        <v>2026</v>
      </c>
      <c r="I79" t="s">
        <v>41</v>
      </c>
      <c r="J79" t="s">
        <v>64</v>
      </c>
      <c r="K79" t="s">
        <v>69</v>
      </c>
      <c r="L79" s="6">
        <v>46163</v>
      </c>
      <c r="M79" s="6">
        <v>46163</v>
      </c>
      <c r="N79" s="1" t="str">
        <f>IF(FACILITIES[[#This Row],[DATA FINALIZAÇÃO]]&lt;&gt;0,"Finalizado",IF(FACILITIES[[#This Row],[DATA INICIO]]&lt;&gt;0,"Em andamento","Pendente"))</f>
        <v>Finalizado</v>
      </c>
      <c r="O79" s="10">
        <f>IF(FACILITIES[[#This Row],[DATA FINALIZAÇÃO]]-FACILITIES[[#This Row],[DATA INICIO]]&lt;0,0,INT(FACILITIES[[#This Row],[DATA FINALIZAÇÃO]]-FACILITIES[[#This Row],[DATA INICIO]]))</f>
        <v>0</v>
      </c>
      <c r="R79" s="9">
        <v>0.01</v>
      </c>
      <c r="S79" t="s">
        <v>171</v>
      </c>
    </row>
    <row r="80" spans="1:20" x14ac:dyDescent="0.35">
      <c r="A80" s="1">
        <f t="shared" si="1"/>
        <v>78</v>
      </c>
      <c r="B80" s="1">
        <v>1</v>
      </c>
      <c r="C80" t="s">
        <v>89</v>
      </c>
      <c r="D80" t="s">
        <v>26</v>
      </c>
      <c r="E80" s="3">
        <v>46192</v>
      </c>
      <c r="F80" s="1" t="s">
        <v>78</v>
      </c>
      <c r="G80" s="1" cm="1">
        <f t="array" ref="G80">IFERROR(_xlfn.IFS(FACILITIES[[#This Row],[MÊS]]="JANEIRO",1,FACILITIES[[#This Row],[MÊS]]="FEVEREIRO",2,FACILITIES[[#This Row],[MÊS]]="MARÇO",3,FACILITIES[[#This Row],[MÊS]]="ABRIL",4,FACILITIES[[#This Row],[MÊS]]="MAIO",5,FACILITIES[[#This Row],[MÊS]]="JUNHO",6,FACILITIES[[#This Row],[MÊS]]="JULHO",7,FACILITIES[[#This Row],[MÊS]]="AGOSTO",8,FACILITIES[[#This Row],[MÊS]]="SETEMBRO",9,FACILITIES[[#This Row],[MÊS]]="OUTUBRO",10,FACILITIES[[#This Row],[MÊS]]="NOVEMBRO",11,FACILITIES[[#This Row],[MÊS]]="DEZEMBRO",12),"")</f>
        <v>6</v>
      </c>
      <c r="H80" s="1">
        <v>2026</v>
      </c>
      <c r="I80" t="s">
        <v>41</v>
      </c>
      <c r="J80" t="s">
        <v>64</v>
      </c>
      <c r="K80" t="s">
        <v>69</v>
      </c>
      <c r="L80" s="6">
        <v>46192</v>
      </c>
      <c r="N80" s="1" t="str">
        <f>IF(FACILITIES[[#This Row],[DATA FINALIZAÇÃO]]&lt;&gt;0,"Finalizado",IF(FACILITIES[[#This Row],[DATA INICIO]]&lt;&gt;0,"Em andamento","Pendente"))</f>
        <v>Em andamento</v>
      </c>
      <c r="O80" s="10">
        <f>IF(FACILITIES[[#This Row],[DATA FINALIZAÇÃO]]-FACILITIES[[#This Row],[DATA INICIO]]&lt;0,0,INT(FACILITIES[[#This Row],[DATA FINALIZAÇÃO]]-FACILITIES[[#This Row],[DATA INICIO]]))</f>
        <v>0</v>
      </c>
      <c r="R80" s="9">
        <v>0.01</v>
      </c>
      <c r="S80" t="s">
        <v>171</v>
      </c>
    </row>
    <row r="81" spans="1:20" x14ac:dyDescent="0.35">
      <c r="A81" s="1">
        <f t="shared" si="1"/>
        <v>79</v>
      </c>
      <c r="B81" s="1">
        <v>1</v>
      </c>
      <c r="C81" t="s">
        <v>89</v>
      </c>
      <c r="D81" t="s">
        <v>26</v>
      </c>
      <c r="E81" s="3">
        <v>46217</v>
      </c>
      <c r="F81" s="1" t="s">
        <v>84</v>
      </c>
      <c r="G81" s="1" cm="1">
        <f t="array" ref="G81">IFERROR(_xlfn.IFS(FACILITIES[[#This Row],[MÊS]]="JANEIRO",1,FACILITIES[[#This Row],[MÊS]]="FEVEREIRO",2,FACILITIES[[#This Row],[MÊS]]="MARÇO",3,FACILITIES[[#This Row],[MÊS]]="ABRIL",4,FACILITIES[[#This Row],[MÊS]]="MAIO",5,FACILITIES[[#This Row],[MÊS]]="JUNHO",6,FACILITIES[[#This Row],[MÊS]]="JULHO",7,FACILITIES[[#This Row],[MÊS]]="AGOSTO",8,FACILITIES[[#This Row],[MÊS]]="SETEMBRO",9,FACILITIES[[#This Row],[MÊS]]="OUTUBRO",10,FACILITIES[[#This Row],[MÊS]]="NOVEMBRO",11,FACILITIES[[#This Row],[MÊS]]="DEZEMBRO",12),"")</f>
        <v>7</v>
      </c>
      <c r="H81" s="1">
        <v>2026</v>
      </c>
      <c r="I81" t="s">
        <v>41</v>
      </c>
      <c r="J81" t="s">
        <v>64</v>
      </c>
      <c r="K81" t="s">
        <v>69</v>
      </c>
      <c r="L81" s="6">
        <v>46582</v>
      </c>
      <c r="N81" s="1" t="str">
        <f>IF(FACILITIES[[#This Row],[DATA FINALIZAÇÃO]]&lt;&gt;0,"Finalizado",IF(FACILITIES[[#This Row],[DATA INICIO]]&lt;&gt;0,"Em andamento","Pendente"))</f>
        <v>Em andamento</v>
      </c>
      <c r="O81" s="10">
        <f>IF(FACILITIES[[#This Row],[DATA FINALIZAÇÃO]]-FACILITIES[[#This Row],[DATA INICIO]]&lt;0,0,INT(FACILITIES[[#This Row],[DATA FINALIZAÇÃO]]-FACILITIES[[#This Row],[DATA INICIO]]))</f>
        <v>0</v>
      </c>
      <c r="R81" s="9">
        <v>0.01</v>
      </c>
      <c r="S81" t="s">
        <v>171</v>
      </c>
    </row>
    <row r="82" spans="1:20" x14ac:dyDescent="0.35">
      <c r="A82" s="1">
        <f t="shared" si="1"/>
        <v>80</v>
      </c>
      <c r="B82" s="1">
        <v>1</v>
      </c>
      <c r="C82" t="s">
        <v>89</v>
      </c>
      <c r="D82" t="s">
        <v>26</v>
      </c>
      <c r="E82" s="3">
        <v>46259</v>
      </c>
      <c r="F82" s="1" t="s">
        <v>85</v>
      </c>
      <c r="G82" s="1" cm="1">
        <f t="array" ref="G82">IFERROR(_xlfn.IFS(FACILITIES[[#This Row],[MÊS]]="JANEIRO",1,FACILITIES[[#This Row],[MÊS]]="FEVEREIRO",2,FACILITIES[[#This Row],[MÊS]]="MARÇO",3,FACILITIES[[#This Row],[MÊS]]="ABRIL",4,FACILITIES[[#This Row],[MÊS]]="MAIO",5,FACILITIES[[#This Row],[MÊS]]="JUNHO",6,FACILITIES[[#This Row],[MÊS]]="JULHO",7,FACILITIES[[#This Row],[MÊS]]="AGOSTO",8,FACILITIES[[#This Row],[MÊS]]="SETEMBRO",9,FACILITIES[[#This Row],[MÊS]]="OUTUBRO",10,FACILITIES[[#This Row],[MÊS]]="NOVEMBRO",11,FACILITIES[[#This Row],[MÊS]]="DEZEMBRO",12),"")</f>
        <v>8</v>
      </c>
      <c r="H82" s="1">
        <v>2026</v>
      </c>
      <c r="I82" t="s">
        <v>41</v>
      </c>
      <c r="J82" t="s">
        <v>64</v>
      </c>
      <c r="K82" t="s">
        <v>69</v>
      </c>
      <c r="L82" s="6">
        <v>46259</v>
      </c>
      <c r="N82" s="1" t="str">
        <f>IF(FACILITIES[[#This Row],[DATA FINALIZAÇÃO]]&lt;&gt;0,"Finalizado",IF(FACILITIES[[#This Row],[DATA INICIO]]&lt;&gt;0,"Em andamento","Pendente"))</f>
        <v>Em andamento</v>
      </c>
      <c r="O82" s="10">
        <f>IF(FACILITIES[[#This Row],[DATA FINALIZAÇÃO]]-FACILITIES[[#This Row],[DATA INICIO]]&lt;0,0,INT(FACILITIES[[#This Row],[DATA FINALIZAÇÃO]]-FACILITIES[[#This Row],[DATA INICIO]]))</f>
        <v>0</v>
      </c>
      <c r="R82" s="9">
        <v>1E-3</v>
      </c>
      <c r="S82" t="s">
        <v>171</v>
      </c>
    </row>
    <row r="83" spans="1:20" x14ac:dyDescent="0.35">
      <c r="A83" s="1">
        <f t="shared" si="1"/>
        <v>81</v>
      </c>
      <c r="B83" s="1">
        <v>1</v>
      </c>
      <c r="C83" t="s">
        <v>89</v>
      </c>
      <c r="D83" t="s">
        <v>26</v>
      </c>
      <c r="E83" s="3">
        <v>46287</v>
      </c>
      <c r="F83" s="1" t="s">
        <v>75</v>
      </c>
      <c r="G83" s="1" cm="1">
        <f t="array" ref="G83">IFERROR(_xlfn.IFS(FACILITIES[[#This Row],[MÊS]]="JANEIRO",1,FACILITIES[[#This Row],[MÊS]]="FEVEREIRO",2,FACILITIES[[#This Row],[MÊS]]="MARÇO",3,FACILITIES[[#This Row],[MÊS]]="ABRIL",4,FACILITIES[[#This Row],[MÊS]]="MAIO",5,FACILITIES[[#This Row],[MÊS]]="JUNHO",6,FACILITIES[[#This Row],[MÊS]]="JULHO",7,FACILITIES[[#This Row],[MÊS]]="AGOSTO",8,FACILITIES[[#This Row],[MÊS]]="SETEMBRO",9,FACILITIES[[#This Row],[MÊS]]="OUTUBRO",10,FACILITIES[[#This Row],[MÊS]]="NOVEMBRO",11,FACILITIES[[#This Row],[MÊS]]="DEZEMBRO",12),"")</f>
        <v>9</v>
      </c>
      <c r="H83" s="1">
        <v>2026</v>
      </c>
      <c r="I83" t="s">
        <v>41</v>
      </c>
      <c r="J83" t="s">
        <v>64</v>
      </c>
      <c r="K83" t="s">
        <v>69</v>
      </c>
      <c r="L83" s="6">
        <v>46287</v>
      </c>
      <c r="N83" s="1" t="str">
        <f>IF(FACILITIES[[#This Row],[DATA FINALIZAÇÃO]]&lt;&gt;0,"Finalizado",IF(FACILITIES[[#This Row],[DATA INICIO]]&lt;&gt;0,"Em andamento","Pendente"))</f>
        <v>Em andamento</v>
      </c>
      <c r="O83" s="10">
        <f>IF(FACILITIES[[#This Row],[DATA FINALIZAÇÃO]]-FACILITIES[[#This Row],[DATA INICIO]]&lt;0,0,INT(FACILITIES[[#This Row],[DATA FINALIZAÇÃO]]-FACILITIES[[#This Row],[DATA INICIO]]))</f>
        <v>0</v>
      </c>
      <c r="R83" s="9">
        <v>1E-3</v>
      </c>
      <c r="S83" t="s">
        <v>171</v>
      </c>
    </row>
    <row r="84" spans="1:20" x14ac:dyDescent="0.35">
      <c r="A84" s="1">
        <f t="shared" si="1"/>
        <v>82</v>
      </c>
      <c r="B84" s="1">
        <v>1</v>
      </c>
      <c r="C84" t="s">
        <v>89</v>
      </c>
      <c r="D84" t="s">
        <v>26</v>
      </c>
      <c r="E84" s="3">
        <v>46318</v>
      </c>
      <c r="F84" s="1" t="s">
        <v>77</v>
      </c>
      <c r="G84" s="1" cm="1">
        <f t="array" ref="G84">IFERROR(_xlfn.IFS(FACILITIES[[#This Row],[MÊS]]="JANEIRO",1,FACILITIES[[#This Row],[MÊS]]="FEVEREIRO",2,FACILITIES[[#This Row],[MÊS]]="MARÇO",3,FACILITIES[[#This Row],[MÊS]]="ABRIL",4,FACILITIES[[#This Row],[MÊS]]="MAIO",5,FACILITIES[[#This Row],[MÊS]]="JUNHO",6,FACILITIES[[#This Row],[MÊS]]="JULHO",7,FACILITIES[[#This Row],[MÊS]]="AGOSTO",8,FACILITIES[[#This Row],[MÊS]]="SETEMBRO",9,FACILITIES[[#This Row],[MÊS]]="OUTUBRO",10,FACILITIES[[#This Row],[MÊS]]="NOVEMBRO",11,FACILITIES[[#This Row],[MÊS]]="DEZEMBRO",12),"")</f>
        <v>10</v>
      </c>
      <c r="H84" s="1">
        <v>2026</v>
      </c>
      <c r="I84" t="s">
        <v>41</v>
      </c>
      <c r="J84" t="s">
        <v>64</v>
      </c>
      <c r="K84" t="s">
        <v>69</v>
      </c>
      <c r="L84" s="6">
        <v>46318</v>
      </c>
      <c r="N84" s="1" t="str">
        <f>IF(FACILITIES[[#This Row],[DATA FINALIZAÇÃO]]&lt;&gt;0,"Finalizado",IF(FACILITIES[[#This Row],[DATA INICIO]]&lt;&gt;0,"Em andamento","Pendente"))</f>
        <v>Em andamento</v>
      </c>
      <c r="O84" s="10">
        <f>IF(FACILITIES[[#This Row],[DATA FINALIZAÇÃO]]-FACILITIES[[#This Row],[DATA INICIO]]&lt;0,0,INT(FACILITIES[[#This Row],[DATA FINALIZAÇÃO]]-FACILITIES[[#This Row],[DATA INICIO]]))</f>
        <v>0</v>
      </c>
      <c r="R84" s="9">
        <v>1E-3</v>
      </c>
      <c r="S84" t="s">
        <v>171</v>
      </c>
    </row>
    <row r="85" spans="1:20" x14ac:dyDescent="0.35">
      <c r="A85" s="1">
        <f t="shared" si="1"/>
        <v>83</v>
      </c>
      <c r="B85" s="1">
        <v>1</v>
      </c>
      <c r="C85" t="s">
        <v>89</v>
      </c>
      <c r="D85" t="s">
        <v>26</v>
      </c>
      <c r="E85" s="3">
        <v>46350</v>
      </c>
      <c r="F85" s="1" t="s">
        <v>86</v>
      </c>
      <c r="G85" s="1" cm="1">
        <f t="array" ref="G85">IFERROR(_xlfn.IFS(FACILITIES[[#This Row],[MÊS]]="JANEIRO",1,FACILITIES[[#This Row],[MÊS]]="FEVEREIRO",2,FACILITIES[[#This Row],[MÊS]]="MARÇO",3,FACILITIES[[#This Row],[MÊS]]="ABRIL",4,FACILITIES[[#This Row],[MÊS]]="MAIO",5,FACILITIES[[#This Row],[MÊS]]="JUNHO",6,FACILITIES[[#This Row],[MÊS]]="JULHO",7,FACILITIES[[#This Row],[MÊS]]="AGOSTO",8,FACILITIES[[#This Row],[MÊS]]="SETEMBRO",9,FACILITIES[[#This Row],[MÊS]]="OUTUBRO",10,FACILITIES[[#This Row],[MÊS]]="NOVEMBRO",11,FACILITIES[[#This Row],[MÊS]]="DEZEMBRO",12),"")</f>
        <v>11</v>
      </c>
      <c r="H85" s="1">
        <v>2026</v>
      </c>
      <c r="I85" t="s">
        <v>41</v>
      </c>
      <c r="J85" t="s">
        <v>64</v>
      </c>
      <c r="K85" t="s">
        <v>69</v>
      </c>
      <c r="L85" s="6">
        <v>46350</v>
      </c>
      <c r="N85" s="1" t="str">
        <f>IF(FACILITIES[[#This Row],[DATA FINALIZAÇÃO]]&lt;&gt;0,"Finalizado",IF(FACILITIES[[#This Row],[DATA INICIO]]&lt;&gt;0,"Em andamento","Pendente"))</f>
        <v>Em andamento</v>
      </c>
      <c r="O85" s="10">
        <f>IF(FACILITIES[[#This Row],[DATA FINALIZAÇÃO]]-FACILITIES[[#This Row],[DATA INICIO]]&lt;0,0,INT(FACILITIES[[#This Row],[DATA FINALIZAÇÃO]]-FACILITIES[[#This Row],[DATA INICIO]]))</f>
        <v>0</v>
      </c>
      <c r="R85" s="9">
        <v>1E-3</v>
      </c>
      <c r="S85" t="s">
        <v>171</v>
      </c>
    </row>
    <row r="86" spans="1:20" x14ac:dyDescent="0.35">
      <c r="A86" s="1">
        <f t="shared" si="1"/>
        <v>84</v>
      </c>
      <c r="B86" s="1">
        <v>1</v>
      </c>
      <c r="C86" t="s">
        <v>89</v>
      </c>
      <c r="D86" t="s">
        <v>26</v>
      </c>
      <c r="E86" s="3">
        <v>46374</v>
      </c>
      <c r="F86" s="1" t="s">
        <v>87</v>
      </c>
      <c r="G86" s="1" cm="1">
        <f t="array" ref="G86">IFERROR(_xlfn.IFS(FACILITIES[[#This Row],[MÊS]]="JANEIRO",1,FACILITIES[[#This Row],[MÊS]]="FEVEREIRO",2,FACILITIES[[#This Row],[MÊS]]="MARÇO",3,FACILITIES[[#This Row],[MÊS]]="ABRIL",4,FACILITIES[[#This Row],[MÊS]]="MAIO",5,FACILITIES[[#This Row],[MÊS]]="JUNHO",6,FACILITIES[[#This Row],[MÊS]]="JULHO",7,FACILITIES[[#This Row],[MÊS]]="AGOSTO",8,FACILITIES[[#This Row],[MÊS]]="SETEMBRO",9,FACILITIES[[#This Row],[MÊS]]="OUTUBRO",10,FACILITIES[[#This Row],[MÊS]]="NOVEMBRO",11,FACILITIES[[#This Row],[MÊS]]="DEZEMBRO",12),"")</f>
        <v>12</v>
      </c>
      <c r="H86" s="1">
        <v>2026</v>
      </c>
      <c r="I86" t="s">
        <v>41</v>
      </c>
      <c r="J86" t="s">
        <v>64</v>
      </c>
      <c r="K86" t="s">
        <v>69</v>
      </c>
      <c r="L86" s="6">
        <v>46374</v>
      </c>
      <c r="N86" s="1" t="str">
        <f>IF(FACILITIES[[#This Row],[DATA FINALIZAÇÃO]]&lt;&gt;0,"Finalizado",IF(FACILITIES[[#This Row],[DATA INICIO]]&lt;&gt;0,"Em andamento","Pendente"))</f>
        <v>Em andamento</v>
      </c>
      <c r="O86" s="10">
        <f>IF(FACILITIES[[#This Row],[DATA FINALIZAÇÃO]]-FACILITIES[[#This Row],[DATA INICIO]]&lt;0,0,INT(FACILITIES[[#This Row],[DATA FINALIZAÇÃO]]-FACILITIES[[#This Row],[DATA INICIO]]))</f>
        <v>0</v>
      </c>
      <c r="R86" s="9">
        <v>1E-3</v>
      </c>
      <c r="S86" t="s">
        <v>171</v>
      </c>
    </row>
    <row r="87" spans="1:20" ht="15" customHeight="1" x14ac:dyDescent="0.35">
      <c r="A87" s="1">
        <f>ROW(A85)</f>
        <v>85</v>
      </c>
      <c r="B87" s="1">
        <v>1</v>
      </c>
      <c r="C87" t="s">
        <v>89</v>
      </c>
      <c r="D87" t="s">
        <v>26</v>
      </c>
      <c r="E87" s="3">
        <v>46055</v>
      </c>
      <c r="F87" s="1" t="s">
        <v>80</v>
      </c>
      <c r="G87" s="1" cm="1">
        <f t="array" ref="G87">IFERROR(_xlfn.IFS(FACILITIES[[#This Row],[MÊS]]="JANEIRO",1,FACILITIES[[#This Row],[MÊS]]="FEVEREIRO",2,FACILITIES[[#This Row],[MÊS]]="MARÇO",3,FACILITIES[[#This Row],[MÊS]]="ABRIL",4,FACILITIES[[#This Row],[MÊS]]="MAIO",5,FACILITIES[[#This Row],[MÊS]]="JUNHO",6,FACILITIES[[#This Row],[MÊS]]="JULHO",7,FACILITIES[[#This Row],[MÊS]]="AGOSTO",8,FACILITIES[[#This Row],[MÊS]]="SETEMBRO",9,FACILITIES[[#This Row],[MÊS]]="OUTUBRO",10,FACILITIES[[#This Row],[MÊS]]="NOVEMBRO",11,FACILITIES[[#This Row],[MÊS]]="DEZEMBRO",12),"")</f>
        <v>2</v>
      </c>
      <c r="H87" s="1">
        <v>2026</v>
      </c>
      <c r="I87" t="s">
        <v>46</v>
      </c>
      <c r="J87" t="s">
        <v>64</v>
      </c>
      <c r="K87" t="s">
        <v>69</v>
      </c>
      <c r="L87" s="6">
        <v>46055</v>
      </c>
      <c r="M87" s="6">
        <v>46080</v>
      </c>
      <c r="N87" s="1" t="str">
        <f>IF(FACILITIES[[#This Row],[DATA FINALIZAÇÃO]]&lt;&gt;0,"Finalizado",IF(FACILITIES[[#This Row],[DATA INICIO]]&lt;&gt;0,"Em andamento","Pendente"))</f>
        <v>Finalizado</v>
      </c>
      <c r="O87" s="10">
        <f>IF(FACILITIES[[#This Row],[DATA FINALIZAÇÃO]]-FACILITIES[[#This Row],[DATA INICIO]]&lt;0,0,INT(FACILITIES[[#This Row],[DATA FINALIZAÇÃO]]-FACILITIES[[#This Row],[DATA INICIO]]))</f>
        <v>25</v>
      </c>
      <c r="P87" s="1" t="s">
        <v>70</v>
      </c>
      <c r="Q87" s="1" t="s">
        <v>71</v>
      </c>
      <c r="R87" s="9">
        <v>2772</v>
      </c>
      <c r="S87" t="s">
        <v>163</v>
      </c>
    </row>
    <row r="88" spans="1:20" ht="15" customHeight="1" x14ac:dyDescent="0.35">
      <c r="A88" s="1">
        <f t="shared" ref="A88:A114" si="2">ROW(A86)</f>
        <v>86</v>
      </c>
      <c r="B88" s="1">
        <v>1</v>
      </c>
      <c r="C88" t="s">
        <v>98</v>
      </c>
      <c r="D88" t="s">
        <v>26</v>
      </c>
      <c r="E88" s="3">
        <v>46085</v>
      </c>
      <c r="F88" s="1" t="s">
        <v>81</v>
      </c>
      <c r="G88" s="1" cm="1">
        <f t="array" ref="G88">IFERROR(_xlfn.IFS(FACILITIES[[#This Row],[MÊS]]="JANEIRO",1,FACILITIES[[#This Row],[MÊS]]="FEVEREIRO",2,FACILITIES[[#This Row],[MÊS]]="MARÇO",3,FACILITIES[[#This Row],[MÊS]]="ABRIL",4,FACILITIES[[#This Row],[MÊS]]="MAIO",5,FACILITIES[[#This Row],[MÊS]]="JUNHO",6,FACILITIES[[#This Row],[MÊS]]="JULHO",7,FACILITIES[[#This Row],[MÊS]]="AGOSTO",8,FACILITIES[[#This Row],[MÊS]]="SETEMBRO",9,FACILITIES[[#This Row],[MÊS]]="OUTUBRO",10,FACILITIES[[#This Row],[MÊS]]="NOVEMBRO",11,FACILITIES[[#This Row],[MÊS]]="DEZEMBRO",12),"")</f>
        <v>3</v>
      </c>
      <c r="H88" s="1">
        <v>2026</v>
      </c>
      <c r="I88" t="s">
        <v>63</v>
      </c>
      <c r="J88" t="s">
        <v>64</v>
      </c>
      <c r="K88" t="s">
        <v>67</v>
      </c>
      <c r="L88" s="6">
        <v>46086</v>
      </c>
      <c r="M88" s="6">
        <v>46086</v>
      </c>
      <c r="N88" s="1" t="str">
        <f>IF(FACILITIES[[#This Row],[DATA FINALIZAÇÃO]]&lt;&gt;0,"Finalizado",IF(FACILITIES[[#This Row],[DATA INICIO]]&lt;&gt;0,"Em andamento","Pendente"))</f>
        <v>Finalizado</v>
      </c>
      <c r="O88" s="10">
        <f>IF(FACILITIES[[#This Row],[DATA FINALIZAÇÃO]]-FACILITIES[[#This Row],[DATA INICIO]]&lt;0,0,INT(FACILITIES[[#This Row],[DATA FINALIZAÇÃO]]-FACILITIES[[#This Row],[DATA INICIO]]))</f>
        <v>0</v>
      </c>
      <c r="R88" s="9">
        <v>0</v>
      </c>
      <c r="S88" t="s">
        <v>229</v>
      </c>
      <c r="T88" t="s">
        <v>231</v>
      </c>
    </row>
    <row r="89" spans="1:20" ht="15" customHeight="1" x14ac:dyDescent="0.35">
      <c r="A89" s="1">
        <f t="shared" si="2"/>
        <v>87</v>
      </c>
      <c r="B89" s="1">
        <v>1</v>
      </c>
      <c r="C89" t="s">
        <v>98</v>
      </c>
      <c r="D89" t="s">
        <v>26</v>
      </c>
      <c r="E89" s="3">
        <v>46087</v>
      </c>
      <c r="F89" s="1" t="s">
        <v>81</v>
      </c>
      <c r="G89" s="1" cm="1">
        <f t="array" ref="G89">IFERROR(_xlfn.IFS(FACILITIES[[#This Row],[MÊS]]="JANEIRO",1,FACILITIES[[#This Row],[MÊS]]="FEVEREIRO",2,FACILITIES[[#This Row],[MÊS]]="MARÇO",3,FACILITIES[[#This Row],[MÊS]]="ABRIL",4,FACILITIES[[#This Row],[MÊS]]="MAIO",5,FACILITIES[[#This Row],[MÊS]]="JUNHO",6,FACILITIES[[#This Row],[MÊS]]="JULHO",7,FACILITIES[[#This Row],[MÊS]]="AGOSTO",8,FACILITIES[[#This Row],[MÊS]]="SETEMBRO",9,FACILITIES[[#This Row],[MÊS]]="OUTUBRO",10,FACILITIES[[#This Row],[MÊS]]="NOVEMBRO",11,FACILITIES[[#This Row],[MÊS]]="DEZEMBRO",12),"")</f>
        <v>3</v>
      </c>
      <c r="H89" s="1">
        <v>2026</v>
      </c>
      <c r="I89" t="s">
        <v>39</v>
      </c>
      <c r="J89" t="s">
        <v>64</v>
      </c>
      <c r="K89" t="s">
        <v>67</v>
      </c>
      <c r="L89" s="6">
        <v>46085</v>
      </c>
      <c r="M89" s="6">
        <v>46087</v>
      </c>
      <c r="N89" s="1" t="str">
        <f>IF(FACILITIES[[#This Row],[DATA FINALIZAÇÃO]]&lt;&gt;0,"Finalizado",IF(FACILITIES[[#This Row],[DATA INICIO]]&lt;&gt;0,"Em andamento","Pendente"))</f>
        <v>Finalizado</v>
      </c>
      <c r="O89" s="10">
        <f>IF(FACILITIES[[#This Row],[DATA FINALIZAÇÃO]]-FACILITIES[[#This Row],[DATA INICIO]]&lt;0,0,INT(FACILITIES[[#This Row],[DATA FINALIZAÇÃO]]-FACILITIES[[#This Row],[DATA INICIO]]))</f>
        <v>2</v>
      </c>
      <c r="P89" s="1" t="s">
        <v>70</v>
      </c>
      <c r="Q89" s="1" t="s">
        <v>71</v>
      </c>
      <c r="S89" t="s">
        <v>230</v>
      </c>
      <c r="T89" t="s">
        <v>232</v>
      </c>
    </row>
    <row r="90" spans="1:20" ht="14" customHeight="1" x14ac:dyDescent="0.35">
      <c r="A90" s="1">
        <f t="shared" si="2"/>
        <v>88</v>
      </c>
      <c r="B90" s="1">
        <v>1</v>
      </c>
      <c r="C90" t="s">
        <v>98</v>
      </c>
      <c r="D90" t="s">
        <v>26</v>
      </c>
      <c r="E90" s="3">
        <v>46090</v>
      </c>
      <c r="F90" s="1" t="s">
        <v>81</v>
      </c>
      <c r="G90" s="1" cm="1">
        <f t="array" ref="G90">IFERROR(_xlfn.IFS(FACILITIES[[#This Row],[MÊS]]="JANEIRO",1,FACILITIES[[#This Row],[MÊS]]="FEVEREIRO",2,FACILITIES[[#This Row],[MÊS]]="MARÇO",3,FACILITIES[[#This Row],[MÊS]]="ABRIL",4,FACILITIES[[#This Row],[MÊS]]="MAIO",5,FACILITIES[[#This Row],[MÊS]]="JUNHO",6,FACILITIES[[#This Row],[MÊS]]="JULHO",7,FACILITIES[[#This Row],[MÊS]]="AGOSTO",8,FACILITIES[[#This Row],[MÊS]]="SETEMBRO",9,FACILITIES[[#This Row],[MÊS]]="OUTUBRO",10,FACILITIES[[#This Row],[MÊS]]="NOVEMBRO",11,FACILITIES[[#This Row],[MÊS]]="DEZEMBRO",12),"")</f>
        <v>3</v>
      </c>
      <c r="H90" s="1">
        <v>2026</v>
      </c>
      <c r="I90" t="s">
        <v>128</v>
      </c>
      <c r="J90" t="s">
        <v>64</v>
      </c>
      <c r="K90" t="s">
        <v>67</v>
      </c>
      <c r="L90" s="6">
        <v>46090</v>
      </c>
      <c r="M90" s="6">
        <v>46094</v>
      </c>
      <c r="N90" s="1" t="str">
        <f>IF(FACILITIES[[#This Row],[DATA FINALIZAÇÃO]]&lt;&gt;0,"Finalizado",IF(FACILITIES[[#This Row],[DATA INICIO]]&lt;&gt;0,"Em andamento","Pendente"))</f>
        <v>Finalizado</v>
      </c>
      <c r="O90" s="10">
        <f>IF(FACILITIES[[#This Row],[DATA FINALIZAÇÃO]]-FACILITIES[[#This Row],[DATA INICIO]]&lt;0,0,INT(FACILITIES[[#This Row],[DATA FINALIZAÇÃO]]-FACILITIES[[#This Row],[DATA INICIO]]))</f>
        <v>4</v>
      </c>
      <c r="P90" s="1" t="s">
        <v>70</v>
      </c>
      <c r="Q90" s="1" t="s">
        <v>71</v>
      </c>
      <c r="R90" s="9">
        <v>60</v>
      </c>
      <c r="S90" t="s">
        <v>233</v>
      </c>
      <c r="T90" t="s">
        <v>234</v>
      </c>
    </row>
    <row r="91" spans="1:20" ht="16" customHeight="1" x14ac:dyDescent="0.35">
      <c r="A91" s="1">
        <f t="shared" si="2"/>
        <v>89</v>
      </c>
      <c r="B91" s="1">
        <v>1</v>
      </c>
      <c r="C91" t="s">
        <v>107</v>
      </c>
      <c r="D91" t="s">
        <v>18</v>
      </c>
      <c r="E91" s="3">
        <v>46090</v>
      </c>
      <c r="F91" s="1" t="s">
        <v>81</v>
      </c>
      <c r="G91" s="1" cm="1">
        <f t="array" ref="G91">IFERROR(_xlfn.IFS(FACILITIES[[#This Row],[MÊS]]="JANEIRO",1,FACILITIES[[#This Row],[MÊS]]="FEVEREIRO",2,FACILITIES[[#This Row],[MÊS]]="MARÇO",3,FACILITIES[[#This Row],[MÊS]]="ABRIL",4,FACILITIES[[#This Row],[MÊS]]="MAIO",5,FACILITIES[[#This Row],[MÊS]]="JUNHO",6,FACILITIES[[#This Row],[MÊS]]="JULHO",7,FACILITIES[[#This Row],[MÊS]]="AGOSTO",8,FACILITIES[[#This Row],[MÊS]]="SETEMBRO",9,FACILITIES[[#This Row],[MÊS]]="OUTUBRO",10,FACILITIES[[#This Row],[MÊS]]="NOVEMBRO",11,FACILITIES[[#This Row],[MÊS]]="DEZEMBRO",12),"")</f>
        <v>3</v>
      </c>
      <c r="H91" s="1">
        <v>2026</v>
      </c>
      <c r="I91" t="s">
        <v>91</v>
      </c>
      <c r="J91" t="s">
        <v>64</v>
      </c>
      <c r="K91" t="s">
        <v>67</v>
      </c>
      <c r="L91" s="6">
        <v>46090</v>
      </c>
      <c r="M91" s="6">
        <v>46094</v>
      </c>
      <c r="N91" s="1" t="str">
        <f>IF(FACILITIES[[#This Row],[DATA FINALIZAÇÃO]]&lt;&gt;0,"Finalizado",IF(FACILITIES[[#This Row],[DATA INICIO]]&lt;&gt;0,"Em andamento","Pendente"))</f>
        <v>Finalizado</v>
      </c>
      <c r="O91" s="10">
        <f>IF(FACILITIES[[#This Row],[DATA FINALIZAÇÃO]]-FACILITIES[[#This Row],[DATA INICIO]]&lt;0,0,INT(FACILITIES[[#This Row],[DATA FINALIZAÇÃO]]-FACILITIES[[#This Row],[DATA INICIO]]))</f>
        <v>4</v>
      </c>
      <c r="P91" s="1" t="s">
        <v>70</v>
      </c>
      <c r="Q91" s="1" t="s">
        <v>70</v>
      </c>
      <c r="R91" s="9">
        <v>0</v>
      </c>
      <c r="S91" t="s">
        <v>238</v>
      </c>
      <c r="T91" t="s">
        <v>239</v>
      </c>
    </row>
    <row r="92" spans="1:20" ht="15" customHeight="1" x14ac:dyDescent="0.35">
      <c r="A92" s="1">
        <f t="shared" si="2"/>
        <v>90</v>
      </c>
      <c r="B92" s="1">
        <v>1</v>
      </c>
      <c r="C92" t="s">
        <v>109</v>
      </c>
      <c r="D92" t="s">
        <v>26</v>
      </c>
      <c r="E92" s="3">
        <v>46090</v>
      </c>
      <c r="F92" s="1" t="s">
        <v>81</v>
      </c>
      <c r="G92" s="1" cm="1">
        <f t="array" ref="G92">IFERROR(_xlfn.IFS(FACILITIES[[#This Row],[MÊS]]="JANEIRO",1,FACILITIES[[#This Row],[MÊS]]="FEVEREIRO",2,FACILITIES[[#This Row],[MÊS]]="MARÇO",3,FACILITIES[[#This Row],[MÊS]]="ABRIL",4,FACILITIES[[#This Row],[MÊS]]="MAIO",5,FACILITIES[[#This Row],[MÊS]]="JUNHO",6,FACILITIES[[#This Row],[MÊS]]="JULHO",7,FACILITIES[[#This Row],[MÊS]]="AGOSTO",8,FACILITIES[[#This Row],[MÊS]]="SETEMBRO",9,FACILITIES[[#This Row],[MÊS]]="OUTUBRO",10,FACILITIES[[#This Row],[MÊS]]="NOVEMBRO",11,FACILITIES[[#This Row],[MÊS]]="DEZEMBRO",12),"")</f>
        <v>3</v>
      </c>
      <c r="H92" s="1">
        <v>2026</v>
      </c>
      <c r="I92" t="s">
        <v>128</v>
      </c>
      <c r="J92" t="s">
        <v>64</v>
      </c>
      <c r="K92" t="s">
        <v>67</v>
      </c>
      <c r="L92" s="6">
        <v>46090</v>
      </c>
      <c r="M92" s="6">
        <v>46094</v>
      </c>
      <c r="N92" s="1" t="str">
        <f>IF(FACILITIES[[#This Row],[DATA FINALIZAÇÃO]]&lt;&gt;0,"Finalizado",IF(FACILITIES[[#This Row],[DATA INICIO]]&lt;&gt;0,"Em andamento","Pendente"))</f>
        <v>Finalizado</v>
      </c>
      <c r="O92" s="10">
        <f>IF(FACILITIES[[#This Row],[DATA FINALIZAÇÃO]]-FACILITIES[[#This Row],[DATA INICIO]]&lt;0,0,INT(FACILITIES[[#This Row],[DATA FINALIZAÇÃO]]-FACILITIES[[#This Row],[DATA INICIO]]))</f>
        <v>4</v>
      </c>
      <c r="P92" s="1" t="s">
        <v>70</v>
      </c>
      <c r="Q92" s="1" t="s">
        <v>71</v>
      </c>
      <c r="R92" s="9">
        <v>0</v>
      </c>
      <c r="S92" t="s">
        <v>240</v>
      </c>
      <c r="T92" t="s">
        <v>241</v>
      </c>
    </row>
    <row r="93" spans="1:20" ht="15" customHeight="1" x14ac:dyDescent="0.35">
      <c r="A93" s="1">
        <f t="shared" si="2"/>
        <v>91</v>
      </c>
      <c r="B93" s="1">
        <v>1</v>
      </c>
      <c r="C93" t="s">
        <v>98</v>
      </c>
      <c r="D93" t="s">
        <v>4</v>
      </c>
      <c r="E93" s="3">
        <v>46090</v>
      </c>
      <c r="F93" s="1" t="s">
        <v>81</v>
      </c>
      <c r="G93" s="1" cm="1">
        <f t="array" ref="G93">IFERROR(_xlfn.IFS(FACILITIES[[#This Row],[MÊS]]="JANEIRO",1,FACILITIES[[#This Row],[MÊS]]="FEVEREIRO",2,FACILITIES[[#This Row],[MÊS]]="MARÇO",3,FACILITIES[[#This Row],[MÊS]]="ABRIL",4,FACILITIES[[#This Row],[MÊS]]="MAIO",5,FACILITIES[[#This Row],[MÊS]]="JUNHO",6,FACILITIES[[#This Row],[MÊS]]="JULHO",7,FACILITIES[[#This Row],[MÊS]]="AGOSTO",8,FACILITIES[[#This Row],[MÊS]]="SETEMBRO",9,FACILITIES[[#This Row],[MÊS]]="OUTUBRO",10,FACILITIES[[#This Row],[MÊS]]="NOVEMBRO",11,FACILITIES[[#This Row],[MÊS]]="DEZEMBRO",12),"")</f>
        <v>3</v>
      </c>
      <c r="H93" s="1">
        <v>2026</v>
      </c>
      <c r="I93" t="s">
        <v>41</v>
      </c>
      <c r="J93" t="s">
        <v>64</v>
      </c>
      <c r="K93" t="s">
        <v>67</v>
      </c>
      <c r="L93" s="6">
        <v>46090</v>
      </c>
      <c r="M93" s="6">
        <v>46093</v>
      </c>
      <c r="N93" s="1" t="str">
        <f>IF(FACILITIES[[#This Row],[DATA FINALIZAÇÃO]]&lt;&gt;0,"Finalizado",IF(FACILITIES[[#This Row],[DATA INICIO]]&lt;&gt;0,"Em andamento","Pendente"))</f>
        <v>Finalizado</v>
      </c>
      <c r="O93" s="10">
        <f>IF(FACILITIES[[#This Row],[DATA FINALIZAÇÃO]]-FACILITIES[[#This Row],[DATA INICIO]]&lt;0,0,INT(FACILITIES[[#This Row],[DATA FINALIZAÇÃO]]-FACILITIES[[#This Row],[DATA INICIO]]))</f>
        <v>3</v>
      </c>
      <c r="P93" s="1" t="s">
        <v>70</v>
      </c>
      <c r="Q93" s="1" t="s">
        <v>71</v>
      </c>
      <c r="R93" s="9">
        <v>320</v>
      </c>
      <c r="S93" t="s">
        <v>242</v>
      </c>
      <c r="T93" t="s">
        <v>243</v>
      </c>
    </row>
    <row r="94" spans="1:20" ht="15" customHeight="1" x14ac:dyDescent="0.35">
      <c r="A94" s="1">
        <f t="shared" si="2"/>
        <v>92</v>
      </c>
      <c r="B94" s="1">
        <v>1</v>
      </c>
      <c r="C94" t="s">
        <v>98</v>
      </c>
      <c r="D94" t="s">
        <v>26</v>
      </c>
      <c r="E94" s="3">
        <v>46091</v>
      </c>
      <c r="F94" s="1" t="s">
        <v>81</v>
      </c>
      <c r="G94" s="1" cm="1">
        <f t="array" ref="G94">IFERROR(_xlfn.IFS(FACILITIES[[#This Row],[MÊS]]="JANEIRO",1,FACILITIES[[#This Row],[MÊS]]="FEVEREIRO",2,FACILITIES[[#This Row],[MÊS]]="MARÇO",3,FACILITIES[[#This Row],[MÊS]]="ABRIL",4,FACILITIES[[#This Row],[MÊS]]="MAIO",5,FACILITIES[[#This Row],[MÊS]]="JUNHO",6,FACILITIES[[#This Row],[MÊS]]="JULHO",7,FACILITIES[[#This Row],[MÊS]]="AGOSTO",8,FACILITIES[[#This Row],[MÊS]]="SETEMBRO",9,FACILITIES[[#This Row],[MÊS]]="OUTUBRO",10,FACILITIES[[#This Row],[MÊS]]="NOVEMBRO",11,FACILITIES[[#This Row],[MÊS]]="DEZEMBRO",12),"")</f>
        <v>3</v>
      </c>
      <c r="H94" s="1">
        <v>2026</v>
      </c>
      <c r="I94" t="s">
        <v>128</v>
      </c>
      <c r="J94" t="s">
        <v>64</v>
      </c>
      <c r="K94" t="s">
        <v>67</v>
      </c>
      <c r="L94" s="6">
        <v>46091</v>
      </c>
      <c r="M94" s="6">
        <v>46094</v>
      </c>
      <c r="N94" s="1" t="str">
        <f>IF(FACILITIES[[#This Row],[DATA FINALIZAÇÃO]]&lt;&gt;0,"Finalizado",IF(FACILITIES[[#This Row],[DATA INICIO]]&lt;&gt;0,"Em andamento","Pendente"))</f>
        <v>Finalizado</v>
      </c>
      <c r="O94" s="10">
        <f>IF(FACILITIES[[#This Row],[DATA FINALIZAÇÃO]]-FACILITIES[[#This Row],[DATA INICIO]]&lt;0,0,INT(FACILITIES[[#This Row],[DATA FINALIZAÇÃO]]-FACILITIES[[#This Row],[DATA INICIO]]))</f>
        <v>3</v>
      </c>
      <c r="R94" s="9">
        <v>148</v>
      </c>
      <c r="S94" t="s">
        <v>235</v>
      </c>
      <c r="T94" t="s">
        <v>236</v>
      </c>
    </row>
    <row r="95" spans="1:20" ht="15" customHeight="1" x14ac:dyDescent="0.35">
      <c r="A95" s="1">
        <f t="shared" si="2"/>
        <v>93</v>
      </c>
      <c r="B95" s="1">
        <v>1</v>
      </c>
      <c r="C95" t="s">
        <v>216</v>
      </c>
      <c r="D95" t="s">
        <v>4</v>
      </c>
      <c r="E95" s="3">
        <v>46098</v>
      </c>
      <c r="F95" s="1" t="s">
        <v>81</v>
      </c>
      <c r="G95" s="1" cm="1">
        <f t="array" ref="G95">IFERROR(_xlfn.IFS(FACILITIES[[#This Row],[MÊS]]="JANEIRO",1,FACILITIES[[#This Row],[MÊS]]="FEVEREIRO",2,FACILITIES[[#This Row],[MÊS]]="MARÇO",3,FACILITIES[[#This Row],[MÊS]]="ABRIL",4,FACILITIES[[#This Row],[MÊS]]="MAIO",5,FACILITIES[[#This Row],[MÊS]]="JUNHO",6,FACILITIES[[#This Row],[MÊS]]="JULHO",7,FACILITIES[[#This Row],[MÊS]]="AGOSTO",8,FACILITIES[[#This Row],[MÊS]]="SETEMBRO",9,FACILITIES[[#This Row],[MÊS]]="OUTUBRO",10,FACILITIES[[#This Row],[MÊS]]="NOVEMBRO",11,FACILITIES[[#This Row],[MÊS]]="DEZEMBRO",12),"")</f>
        <v>3</v>
      </c>
      <c r="H95" s="1">
        <v>2026</v>
      </c>
      <c r="I95" t="s">
        <v>41</v>
      </c>
      <c r="J95" t="s">
        <v>64</v>
      </c>
      <c r="K95" t="s">
        <v>67</v>
      </c>
      <c r="L95" s="6">
        <v>46098</v>
      </c>
      <c r="M95" s="6">
        <v>46108</v>
      </c>
      <c r="N95" s="1" t="str">
        <f>IF(FACILITIES[[#This Row],[DATA FINALIZAÇÃO]]&lt;&gt;0,"Finalizado",IF(FACILITIES[[#This Row],[DATA INICIO]]&lt;&gt;0,"Em andamento","Pendente"))</f>
        <v>Finalizado</v>
      </c>
      <c r="O95" s="10">
        <f>IF(FACILITIES[[#This Row],[DATA FINALIZAÇÃO]]-FACILITIES[[#This Row],[DATA INICIO]]&lt;0,0,INT(FACILITIES[[#This Row],[DATA FINALIZAÇÃO]]-FACILITIES[[#This Row],[DATA INICIO]]))</f>
        <v>10</v>
      </c>
      <c r="P95" s="1" t="s">
        <v>70</v>
      </c>
      <c r="Q95" s="1" t="s">
        <v>71</v>
      </c>
      <c r="R95" s="9">
        <v>0</v>
      </c>
      <c r="S95" t="s">
        <v>242</v>
      </c>
      <c r="T95" t="s">
        <v>244</v>
      </c>
    </row>
    <row r="96" spans="1:20" ht="15" customHeight="1" x14ac:dyDescent="0.35">
      <c r="A96" s="1">
        <f t="shared" si="2"/>
        <v>94</v>
      </c>
      <c r="B96" s="1">
        <v>1</v>
      </c>
      <c r="C96" t="s">
        <v>228</v>
      </c>
      <c r="D96" t="s">
        <v>8</v>
      </c>
      <c r="E96" s="3">
        <v>46099</v>
      </c>
      <c r="F96" s="1" t="s">
        <v>81</v>
      </c>
      <c r="G96" s="1" cm="1">
        <f t="array" ref="G96">IFERROR(_xlfn.IFS(FACILITIES[[#This Row],[MÊS]]="JANEIRO",1,FACILITIES[[#This Row],[MÊS]]="FEVEREIRO",2,FACILITIES[[#This Row],[MÊS]]="MARÇO",3,FACILITIES[[#This Row],[MÊS]]="ABRIL",4,FACILITIES[[#This Row],[MÊS]]="MAIO",5,FACILITIES[[#This Row],[MÊS]]="JUNHO",6,FACILITIES[[#This Row],[MÊS]]="JULHO",7,FACILITIES[[#This Row],[MÊS]]="AGOSTO",8,FACILITIES[[#This Row],[MÊS]]="SETEMBRO",9,FACILITIES[[#This Row],[MÊS]]="OUTUBRO",10,FACILITIES[[#This Row],[MÊS]]="NOVEMBRO",11,FACILITIES[[#This Row],[MÊS]]="DEZEMBRO",12),"")</f>
        <v>3</v>
      </c>
      <c r="H96" s="1">
        <v>2026</v>
      </c>
      <c r="I96" t="s">
        <v>63</v>
      </c>
      <c r="J96" t="s">
        <v>64</v>
      </c>
      <c r="K96" t="s">
        <v>67</v>
      </c>
      <c r="L96" s="6">
        <v>46099</v>
      </c>
      <c r="M96" s="6">
        <v>46100</v>
      </c>
      <c r="N96" s="1" t="str">
        <f>IF(FACILITIES[[#This Row],[DATA FINALIZAÇÃO]]&lt;&gt;0,"Finalizado",IF(FACILITIES[[#This Row],[DATA INICIO]]&lt;&gt;0,"Em andamento","Pendente"))</f>
        <v>Finalizado</v>
      </c>
      <c r="O96" s="10">
        <f>IF(FACILITIES[[#This Row],[DATA FINALIZAÇÃO]]-FACILITIES[[#This Row],[DATA INICIO]]&lt;0,0,INT(FACILITIES[[#This Row],[DATA FINALIZAÇÃO]]-FACILITIES[[#This Row],[DATA INICIO]]))</f>
        <v>1</v>
      </c>
      <c r="P96" s="1" t="s">
        <v>70</v>
      </c>
      <c r="Q96" s="1" t="s">
        <v>71</v>
      </c>
      <c r="R96" s="9">
        <v>0</v>
      </c>
      <c r="S96" t="s">
        <v>245</v>
      </c>
      <c r="T96" t="s">
        <v>246</v>
      </c>
    </row>
    <row r="97" spans="1:20" ht="15" customHeight="1" x14ac:dyDescent="0.35">
      <c r="A97" s="1">
        <f t="shared" si="2"/>
        <v>95</v>
      </c>
      <c r="B97" s="1">
        <v>1</v>
      </c>
      <c r="C97" t="s">
        <v>121</v>
      </c>
      <c r="D97" t="s">
        <v>20</v>
      </c>
      <c r="E97" s="3">
        <v>46112</v>
      </c>
      <c r="F97" s="1" t="s">
        <v>81</v>
      </c>
      <c r="G97" s="1" cm="1">
        <f t="array" ref="G97">IFERROR(_xlfn.IFS(FACILITIES[[#This Row],[MÊS]]="JANEIRO",1,FACILITIES[[#This Row],[MÊS]]="FEVEREIRO",2,FACILITIES[[#This Row],[MÊS]]="MARÇO",3,FACILITIES[[#This Row],[MÊS]]="ABRIL",4,FACILITIES[[#This Row],[MÊS]]="MAIO",5,FACILITIES[[#This Row],[MÊS]]="JUNHO",6,FACILITIES[[#This Row],[MÊS]]="JULHO",7,FACILITIES[[#This Row],[MÊS]]="AGOSTO",8,FACILITIES[[#This Row],[MÊS]]="SETEMBRO",9,FACILITIES[[#This Row],[MÊS]]="OUTUBRO",10,FACILITIES[[#This Row],[MÊS]]="NOVEMBRO",11,FACILITIES[[#This Row],[MÊS]]="DEZEMBRO",12),"")</f>
        <v>3</v>
      </c>
      <c r="H97" s="1">
        <v>2026</v>
      </c>
      <c r="I97" t="s">
        <v>100</v>
      </c>
      <c r="J97" t="s">
        <v>64</v>
      </c>
      <c r="K97" t="s">
        <v>67</v>
      </c>
      <c r="L97" s="6">
        <v>46112</v>
      </c>
      <c r="M97" s="6">
        <v>46114</v>
      </c>
      <c r="N97" s="1" t="str">
        <f>IF(FACILITIES[[#This Row],[DATA FINALIZAÇÃO]]&lt;&gt;0,"Finalizado",IF(FACILITIES[[#This Row],[DATA INICIO]]&lt;&gt;0,"Em andamento","Pendente"))</f>
        <v>Finalizado</v>
      </c>
      <c r="O97" s="10">
        <f>IF(FACILITIES[[#This Row],[DATA FINALIZAÇÃO]]-FACILITIES[[#This Row],[DATA INICIO]]&lt;0,0,INT(FACILITIES[[#This Row],[DATA FINALIZAÇÃO]]-FACILITIES[[#This Row],[DATA INICIO]]))</f>
        <v>2</v>
      </c>
      <c r="P97" s="1" t="s">
        <v>70</v>
      </c>
      <c r="Q97" s="1" t="s">
        <v>71</v>
      </c>
      <c r="R97" s="9">
        <v>0</v>
      </c>
      <c r="S97" t="s">
        <v>248</v>
      </c>
      <c r="T97" t="s">
        <v>247</v>
      </c>
    </row>
    <row r="98" spans="1:20" x14ac:dyDescent="0.35">
      <c r="A98" s="1">
        <f t="shared" si="2"/>
        <v>96</v>
      </c>
      <c r="B98" s="1">
        <v>1</v>
      </c>
      <c r="C98" t="s">
        <v>213</v>
      </c>
      <c r="D98" t="s">
        <v>9</v>
      </c>
      <c r="E98" s="3">
        <v>46113</v>
      </c>
      <c r="F98" s="1" t="s">
        <v>82</v>
      </c>
      <c r="G98" s="1" cm="1">
        <f t="array" ref="G98">IFERROR(_xlfn.IFS(FACILITIES[[#This Row],[MÊS]]="JANEIRO",1,FACILITIES[[#This Row],[MÊS]]="FEVEREIRO",2,FACILITIES[[#This Row],[MÊS]]="MARÇO",3,FACILITIES[[#This Row],[MÊS]]="ABRIL",4,FACILITIES[[#This Row],[MÊS]]="MAIO",5,FACILITIES[[#This Row],[MÊS]]="JUNHO",6,FACILITIES[[#This Row],[MÊS]]="JULHO",7,FACILITIES[[#This Row],[MÊS]]="AGOSTO",8,FACILITIES[[#This Row],[MÊS]]="SETEMBRO",9,FACILITIES[[#This Row],[MÊS]]="OUTUBRO",10,FACILITIES[[#This Row],[MÊS]]="NOVEMBRO",11,FACILITIES[[#This Row],[MÊS]]="DEZEMBRO",12),"")</f>
        <v>4</v>
      </c>
      <c r="H98" s="1">
        <v>2026</v>
      </c>
      <c r="I98" t="s">
        <v>54</v>
      </c>
      <c r="J98" t="s">
        <v>64</v>
      </c>
      <c r="K98" t="s">
        <v>67</v>
      </c>
      <c r="L98" s="6">
        <v>46114</v>
      </c>
      <c r="M98" s="6">
        <v>46115</v>
      </c>
      <c r="N98" s="1" t="str">
        <f>IF(FACILITIES[[#This Row],[DATA FINALIZAÇÃO]]&lt;&gt;0,"Finalizado",IF(FACILITIES[[#This Row],[DATA INICIO]]&lt;&gt;0,"Em andamento","Pendente"))</f>
        <v>Finalizado</v>
      </c>
      <c r="O98" s="10">
        <f>IF(FACILITIES[[#This Row],[DATA FINALIZAÇÃO]]-FACILITIES[[#This Row],[DATA INICIO]]&lt;0,0,INT(FACILITIES[[#This Row],[DATA FINALIZAÇÃO]]-FACILITIES[[#This Row],[DATA INICIO]]))</f>
        <v>1</v>
      </c>
      <c r="P98" s="1" t="s">
        <v>70</v>
      </c>
      <c r="Q98" s="1" t="s">
        <v>71</v>
      </c>
      <c r="R98" s="9">
        <v>154.24</v>
      </c>
      <c r="S98" t="s">
        <v>237</v>
      </c>
      <c r="T98" t="s">
        <v>214</v>
      </c>
    </row>
    <row r="99" spans="1:20" x14ac:dyDescent="0.35">
      <c r="A99" s="1">
        <f t="shared" si="2"/>
        <v>97</v>
      </c>
      <c r="B99" s="1">
        <v>1</v>
      </c>
      <c r="C99" t="s">
        <v>98</v>
      </c>
      <c r="D99" t="s">
        <v>18</v>
      </c>
      <c r="E99" s="3">
        <v>46113</v>
      </c>
      <c r="F99" s="1" t="s">
        <v>82</v>
      </c>
      <c r="G99" s="1" cm="1">
        <f t="array" ref="G99">IFERROR(_xlfn.IFS(FACILITIES[[#This Row],[MÊS]]="JANEIRO",1,FACILITIES[[#This Row],[MÊS]]="FEVEREIRO",2,FACILITIES[[#This Row],[MÊS]]="MARÇO",3,FACILITIES[[#This Row],[MÊS]]="ABRIL",4,FACILITIES[[#This Row],[MÊS]]="MAIO",5,FACILITIES[[#This Row],[MÊS]]="JUNHO",6,FACILITIES[[#This Row],[MÊS]]="JULHO",7,FACILITIES[[#This Row],[MÊS]]="AGOSTO",8,FACILITIES[[#This Row],[MÊS]]="SETEMBRO",9,FACILITIES[[#This Row],[MÊS]]="OUTUBRO",10,FACILITIES[[#This Row],[MÊS]]="NOVEMBRO",11,FACILITIES[[#This Row],[MÊS]]="DEZEMBRO",12),"")</f>
        <v>4</v>
      </c>
      <c r="H99" s="1">
        <v>2026</v>
      </c>
      <c r="I99" t="s">
        <v>91</v>
      </c>
      <c r="J99" t="s">
        <v>64</v>
      </c>
      <c r="K99" t="s">
        <v>67</v>
      </c>
      <c r="L99" s="6">
        <v>46113</v>
      </c>
      <c r="M99" s="6">
        <v>46113</v>
      </c>
      <c r="N99" s="1" t="str">
        <f>IF(FACILITIES[[#This Row],[DATA FINALIZAÇÃO]]&lt;&gt;0,"Finalizado",IF(FACILITIES[[#This Row],[DATA INICIO]]&lt;&gt;0,"Em andamento","Pendente"))</f>
        <v>Finalizado</v>
      </c>
      <c r="O99" s="10">
        <f>IF(FACILITIES[[#This Row],[DATA FINALIZAÇÃO]]-FACILITIES[[#This Row],[DATA INICIO]]&lt;0,0,INT(FACILITIES[[#This Row],[DATA FINALIZAÇÃO]]-FACILITIES[[#This Row],[DATA INICIO]]))</f>
        <v>0</v>
      </c>
      <c r="P99" s="1" t="s">
        <v>70</v>
      </c>
      <c r="Q99" s="1" t="s">
        <v>71</v>
      </c>
      <c r="R99" s="9">
        <v>0</v>
      </c>
      <c r="S99" t="s">
        <v>238</v>
      </c>
      <c r="T99" t="s">
        <v>215</v>
      </c>
    </row>
    <row r="100" spans="1:20" x14ac:dyDescent="0.35">
      <c r="A100" s="1">
        <f t="shared" si="2"/>
        <v>98</v>
      </c>
      <c r="B100" s="1">
        <v>1</v>
      </c>
      <c r="C100" t="s">
        <v>216</v>
      </c>
      <c r="D100" t="s">
        <v>23</v>
      </c>
      <c r="E100" s="3">
        <v>46113</v>
      </c>
      <c r="F100" s="1" t="s">
        <v>82</v>
      </c>
      <c r="G100" s="1" cm="1">
        <f t="array" ref="G100">IFERROR(_xlfn.IFS(FACILITIES[[#This Row],[MÊS]]="JANEIRO",1,FACILITIES[[#This Row],[MÊS]]="FEVEREIRO",2,FACILITIES[[#This Row],[MÊS]]="MARÇO",3,FACILITIES[[#This Row],[MÊS]]="ABRIL",4,FACILITIES[[#This Row],[MÊS]]="MAIO",5,FACILITIES[[#This Row],[MÊS]]="JUNHO",6,FACILITIES[[#This Row],[MÊS]]="JULHO",7,FACILITIES[[#This Row],[MÊS]]="AGOSTO",8,FACILITIES[[#This Row],[MÊS]]="SETEMBRO",9,FACILITIES[[#This Row],[MÊS]]="OUTUBRO",10,FACILITIES[[#This Row],[MÊS]]="NOVEMBRO",11,FACILITIES[[#This Row],[MÊS]]="DEZEMBRO",12),"")</f>
        <v>4</v>
      </c>
      <c r="H100" s="1">
        <v>2026</v>
      </c>
      <c r="I100" t="s">
        <v>41</v>
      </c>
      <c r="J100" t="s">
        <v>64</v>
      </c>
      <c r="K100" t="s">
        <v>67</v>
      </c>
      <c r="L100" s="6">
        <v>46113</v>
      </c>
      <c r="M100" s="6">
        <v>46113</v>
      </c>
      <c r="N100" s="1" t="str">
        <f>IF(FACILITIES[[#This Row],[DATA FINALIZAÇÃO]]&lt;&gt;0,"Finalizado",IF(FACILITIES[[#This Row],[DATA INICIO]]&lt;&gt;0,"Em andamento","Pendente"))</f>
        <v>Finalizado</v>
      </c>
      <c r="O100" s="10">
        <f>IF(FACILITIES[[#This Row],[DATA FINALIZAÇÃO]]-FACILITIES[[#This Row],[DATA INICIO]]&lt;0,0,INT(FACILITIES[[#This Row],[DATA FINALIZAÇÃO]]-FACILITIES[[#This Row],[DATA INICIO]]))</f>
        <v>0</v>
      </c>
      <c r="P100" s="1" t="s">
        <v>70</v>
      </c>
      <c r="Q100" s="1" t="s">
        <v>71</v>
      </c>
      <c r="R100" s="9">
        <v>1E-3</v>
      </c>
      <c r="S100" t="s">
        <v>218</v>
      </c>
      <c r="T100" t="s">
        <v>217</v>
      </c>
    </row>
    <row r="101" spans="1:20" x14ac:dyDescent="0.35">
      <c r="A101" s="1">
        <f t="shared" si="2"/>
        <v>99</v>
      </c>
      <c r="B101" s="1">
        <v>1</v>
      </c>
      <c r="C101" t="s">
        <v>88</v>
      </c>
      <c r="D101" t="s">
        <v>12</v>
      </c>
      <c r="E101" s="3">
        <v>46118</v>
      </c>
      <c r="F101" s="1" t="s">
        <v>82</v>
      </c>
      <c r="G101" s="1" cm="1">
        <f t="array" ref="G101">IFERROR(_xlfn.IFS(FACILITIES[[#This Row],[MÊS]]="JANEIRO",1,FACILITIES[[#This Row],[MÊS]]="FEVEREIRO",2,FACILITIES[[#This Row],[MÊS]]="MARÇO",3,FACILITIES[[#This Row],[MÊS]]="ABRIL",4,FACILITIES[[#This Row],[MÊS]]="MAIO",5,FACILITIES[[#This Row],[MÊS]]="JUNHO",6,FACILITIES[[#This Row],[MÊS]]="JULHO",7,FACILITIES[[#This Row],[MÊS]]="AGOSTO",8,FACILITIES[[#This Row],[MÊS]]="SETEMBRO",9,FACILITIES[[#This Row],[MÊS]]="OUTUBRO",10,FACILITIES[[#This Row],[MÊS]]="NOVEMBRO",11,FACILITIES[[#This Row],[MÊS]]="DEZEMBRO",12),"")</f>
        <v>4</v>
      </c>
      <c r="H101" s="1">
        <v>2026</v>
      </c>
      <c r="I101" t="s">
        <v>91</v>
      </c>
      <c r="J101" t="s">
        <v>64</v>
      </c>
      <c r="K101" t="s">
        <v>67</v>
      </c>
      <c r="L101" s="6">
        <v>46118</v>
      </c>
      <c r="M101" s="6">
        <v>46121</v>
      </c>
      <c r="N101" s="1" t="str">
        <f>IF(FACILITIES[[#This Row],[DATA FINALIZAÇÃO]]&lt;&gt;0,"Finalizado",IF(FACILITIES[[#This Row],[DATA INICIO]]&lt;&gt;0,"Em andamento","Pendente"))</f>
        <v>Finalizado</v>
      </c>
      <c r="O101" s="10">
        <f>IF(FACILITIES[[#This Row],[DATA FINALIZAÇÃO]]-FACILITIES[[#This Row],[DATA INICIO]]&lt;0,0,INT(FACILITIES[[#This Row],[DATA FINALIZAÇÃO]]-FACILITIES[[#This Row],[DATA INICIO]]))</f>
        <v>3</v>
      </c>
      <c r="P101" s="1" t="s">
        <v>70</v>
      </c>
      <c r="Q101" s="1" t="s">
        <v>71</v>
      </c>
      <c r="R101" s="9">
        <v>0</v>
      </c>
      <c r="S101" t="s">
        <v>219</v>
      </c>
      <c r="T101" t="s">
        <v>220</v>
      </c>
    </row>
    <row r="102" spans="1:20" x14ac:dyDescent="0.35">
      <c r="A102" s="1">
        <f t="shared" si="2"/>
        <v>100</v>
      </c>
      <c r="B102" s="1">
        <v>1</v>
      </c>
      <c r="C102" t="s">
        <v>98</v>
      </c>
      <c r="D102" t="s">
        <v>26</v>
      </c>
      <c r="E102" s="3">
        <v>46118</v>
      </c>
      <c r="F102" s="1" t="s">
        <v>82</v>
      </c>
      <c r="G102" s="1" cm="1">
        <f t="array" ref="G102">IFERROR(_xlfn.IFS(FACILITIES[[#This Row],[MÊS]]="JANEIRO",1,FACILITIES[[#This Row],[MÊS]]="FEVEREIRO",2,FACILITIES[[#This Row],[MÊS]]="MARÇO",3,FACILITIES[[#This Row],[MÊS]]="ABRIL",4,FACILITIES[[#This Row],[MÊS]]="MAIO",5,FACILITIES[[#This Row],[MÊS]]="JUNHO",6,FACILITIES[[#This Row],[MÊS]]="JULHO",7,FACILITIES[[#This Row],[MÊS]]="AGOSTO",8,FACILITIES[[#This Row],[MÊS]]="SETEMBRO",9,FACILITIES[[#This Row],[MÊS]]="OUTUBRO",10,FACILITIES[[#This Row],[MÊS]]="NOVEMBRO",11,FACILITIES[[#This Row],[MÊS]]="DEZEMBRO",12),"")</f>
        <v>4</v>
      </c>
      <c r="H102" s="1">
        <v>2026</v>
      </c>
      <c r="I102" t="s">
        <v>48</v>
      </c>
      <c r="J102" t="s">
        <v>64</v>
      </c>
      <c r="K102" t="s">
        <v>67</v>
      </c>
      <c r="L102" s="6">
        <v>46118</v>
      </c>
      <c r="M102" s="6">
        <v>46118</v>
      </c>
      <c r="N102" s="1" t="str">
        <f>IF(FACILITIES[[#This Row],[DATA FINALIZAÇÃO]]&lt;&gt;0,"Finalizado",IF(FACILITIES[[#This Row],[DATA INICIO]]&lt;&gt;0,"Em andamento","Pendente"))</f>
        <v>Finalizado</v>
      </c>
      <c r="O102" s="10">
        <f>IF(FACILITIES[[#This Row],[DATA FINALIZAÇÃO]]-FACILITIES[[#This Row],[DATA INICIO]]&lt;0,0,INT(FACILITIES[[#This Row],[DATA FINALIZAÇÃO]]-FACILITIES[[#This Row],[DATA INICIO]]))</f>
        <v>0</v>
      </c>
      <c r="P102" s="1" t="s">
        <v>70</v>
      </c>
      <c r="Q102" s="1" t="s">
        <v>71</v>
      </c>
      <c r="R102" s="9">
        <v>0</v>
      </c>
      <c r="S102" t="s">
        <v>221</v>
      </c>
      <c r="T102" t="s">
        <v>222</v>
      </c>
    </row>
    <row r="103" spans="1:20" x14ac:dyDescent="0.35">
      <c r="A103" s="1">
        <f t="shared" si="2"/>
        <v>101</v>
      </c>
      <c r="B103" s="1">
        <v>1</v>
      </c>
      <c r="C103" t="s">
        <v>98</v>
      </c>
      <c r="D103" t="s">
        <v>26</v>
      </c>
      <c r="E103" s="3">
        <v>46118</v>
      </c>
      <c r="F103" s="1" t="s">
        <v>82</v>
      </c>
      <c r="G103" s="1" cm="1">
        <f t="array" ref="G103">IFERROR(_xlfn.IFS(FACILITIES[[#This Row],[MÊS]]="JANEIRO",1,FACILITIES[[#This Row],[MÊS]]="FEVEREIRO",2,FACILITIES[[#This Row],[MÊS]]="MARÇO",3,FACILITIES[[#This Row],[MÊS]]="ABRIL",4,FACILITIES[[#This Row],[MÊS]]="MAIO",5,FACILITIES[[#This Row],[MÊS]]="JUNHO",6,FACILITIES[[#This Row],[MÊS]]="JULHO",7,FACILITIES[[#This Row],[MÊS]]="AGOSTO",8,FACILITIES[[#This Row],[MÊS]]="SETEMBRO",9,FACILITIES[[#This Row],[MÊS]]="OUTUBRO",10,FACILITIES[[#This Row],[MÊS]]="NOVEMBRO",11,FACILITIES[[#This Row],[MÊS]]="DEZEMBRO",12),"")</f>
        <v>4</v>
      </c>
      <c r="H103" s="1">
        <v>2026</v>
      </c>
      <c r="I103" t="s">
        <v>128</v>
      </c>
      <c r="J103" t="s">
        <v>64</v>
      </c>
      <c r="K103" t="s">
        <v>67</v>
      </c>
      <c r="L103" s="6">
        <v>46118</v>
      </c>
      <c r="M103" s="6">
        <v>46147</v>
      </c>
      <c r="N103" s="1" t="str">
        <f>IF(FACILITIES[[#This Row],[DATA FINALIZAÇÃO]]&lt;&gt;0,"Finalizado",IF(FACILITIES[[#This Row],[DATA INICIO]]&lt;&gt;0,"Em andamento","Pendente"))</f>
        <v>Finalizado</v>
      </c>
      <c r="O103" s="10">
        <f>IF(FACILITIES[[#This Row],[DATA FINALIZAÇÃO]]-FACILITIES[[#This Row],[DATA INICIO]]&lt;0,0,INT(FACILITIES[[#This Row],[DATA FINALIZAÇÃO]]-FACILITIES[[#This Row],[DATA INICIO]]))</f>
        <v>29</v>
      </c>
      <c r="P103" s="1" t="s">
        <v>70</v>
      </c>
      <c r="Q103" s="1" t="s">
        <v>71</v>
      </c>
      <c r="R103" s="9">
        <v>0</v>
      </c>
      <c r="S103" t="s">
        <v>223</v>
      </c>
      <c r="T103" t="s">
        <v>262</v>
      </c>
    </row>
    <row r="104" spans="1:20" x14ac:dyDescent="0.35">
      <c r="A104" s="1">
        <f t="shared" si="2"/>
        <v>102</v>
      </c>
      <c r="B104" s="1">
        <v>1</v>
      </c>
      <c r="C104" t="s">
        <v>98</v>
      </c>
      <c r="D104" t="s">
        <v>26</v>
      </c>
      <c r="E104" s="3">
        <v>46119</v>
      </c>
      <c r="F104" s="1" t="s">
        <v>82</v>
      </c>
      <c r="G104" s="1" cm="1">
        <f t="array" ref="G104">IFERROR(_xlfn.IFS(FACILITIES[[#This Row],[MÊS]]="JANEIRO",1,FACILITIES[[#This Row],[MÊS]]="FEVEREIRO",2,FACILITIES[[#This Row],[MÊS]]="MARÇO",3,FACILITIES[[#This Row],[MÊS]]="ABRIL",4,FACILITIES[[#This Row],[MÊS]]="MAIO",5,FACILITIES[[#This Row],[MÊS]]="JUNHO",6,FACILITIES[[#This Row],[MÊS]]="JULHO",7,FACILITIES[[#This Row],[MÊS]]="AGOSTO",8,FACILITIES[[#This Row],[MÊS]]="SETEMBRO",9,FACILITIES[[#This Row],[MÊS]]="OUTUBRO",10,FACILITIES[[#This Row],[MÊS]]="NOVEMBRO",11,FACILITIES[[#This Row],[MÊS]]="DEZEMBRO",12),"")</f>
        <v>4</v>
      </c>
      <c r="H104" s="1">
        <v>2026</v>
      </c>
      <c r="I104" t="s">
        <v>91</v>
      </c>
      <c r="J104" t="s">
        <v>64</v>
      </c>
      <c r="K104" t="s">
        <v>67</v>
      </c>
      <c r="L104" s="6">
        <v>46119</v>
      </c>
      <c r="M104" s="6">
        <v>46120</v>
      </c>
      <c r="N104" s="1" t="str">
        <f>IF(FACILITIES[[#This Row],[DATA FINALIZAÇÃO]]&lt;&gt;0,"Finalizado",IF(FACILITIES[[#This Row],[DATA INICIO]]&lt;&gt;0,"Em andamento","Pendente"))</f>
        <v>Finalizado</v>
      </c>
      <c r="O104" s="10">
        <f>IF(FACILITIES[[#This Row],[DATA FINALIZAÇÃO]]-FACILITIES[[#This Row],[DATA INICIO]]&lt;0,0,INT(FACILITIES[[#This Row],[DATA FINALIZAÇÃO]]-FACILITIES[[#This Row],[DATA INICIO]]))</f>
        <v>1</v>
      </c>
      <c r="P104" s="1" t="s">
        <v>70</v>
      </c>
      <c r="Q104" s="1" t="s">
        <v>71</v>
      </c>
      <c r="R104" s="9">
        <v>350</v>
      </c>
      <c r="S104" t="s">
        <v>226</v>
      </c>
      <c r="T104" t="s">
        <v>224</v>
      </c>
    </row>
    <row r="105" spans="1:20" x14ac:dyDescent="0.35">
      <c r="A105" s="1">
        <f t="shared" si="2"/>
        <v>103</v>
      </c>
      <c r="B105" s="1">
        <v>1</v>
      </c>
      <c r="C105" t="s">
        <v>98</v>
      </c>
      <c r="D105" t="s">
        <v>26</v>
      </c>
      <c r="E105" s="3">
        <v>46122</v>
      </c>
      <c r="F105" s="1" t="s">
        <v>82</v>
      </c>
      <c r="G105" s="1" cm="1">
        <f t="array" ref="G105">IFERROR(_xlfn.IFS(FACILITIES[[#This Row],[MÊS]]="JANEIRO",1,FACILITIES[[#This Row],[MÊS]]="FEVEREIRO",2,FACILITIES[[#This Row],[MÊS]]="MARÇO",3,FACILITIES[[#This Row],[MÊS]]="ABRIL",4,FACILITIES[[#This Row],[MÊS]]="MAIO",5,FACILITIES[[#This Row],[MÊS]]="JUNHO",6,FACILITIES[[#This Row],[MÊS]]="JULHO",7,FACILITIES[[#This Row],[MÊS]]="AGOSTO",8,FACILITIES[[#This Row],[MÊS]]="SETEMBRO",9,FACILITIES[[#This Row],[MÊS]]="OUTUBRO",10,FACILITIES[[#This Row],[MÊS]]="NOVEMBRO",11,FACILITIES[[#This Row],[MÊS]]="DEZEMBRO",12),"")</f>
        <v>4</v>
      </c>
      <c r="H105" s="1">
        <v>2026</v>
      </c>
      <c r="I105" t="s">
        <v>91</v>
      </c>
      <c r="J105" t="s">
        <v>64</v>
      </c>
      <c r="K105" t="s">
        <v>67</v>
      </c>
      <c r="L105" s="6">
        <v>46122</v>
      </c>
      <c r="M105" s="6">
        <v>46128</v>
      </c>
      <c r="N105" s="1" t="str">
        <f>IF(FACILITIES[[#This Row],[DATA FINALIZAÇÃO]]&lt;&gt;0,"Finalizado",IF(FACILITIES[[#This Row],[DATA INICIO]]&lt;&gt;0,"Em andamento","Pendente"))</f>
        <v>Finalizado</v>
      </c>
      <c r="O105" s="10">
        <f>IF(FACILITIES[[#This Row],[DATA FINALIZAÇÃO]]-FACILITIES[[#This Row],[DATA INICIO]]&lt;0,0,INT(FACILITIES[[#This Row],[DATA FINALIZAÇÃO]]-FACILITIES[[#This Row],[DATA INICIO]]))</f>
        <v>6</v>
      </c>
      <c r="P105" s="1" t="s">
        <v>70</v>
      </c>
      <c r="Q105" s="1" t="s">
        <v>71</v>
      </c>
      <c r="R105" s="9">
        <v>0</v>
      </c>
      <c r="S105" t="s">
        <v>227</v>
      </c>
      <c r="T105" t="s">
        <v>225</v>
      </c>
    </row>
    <row r="106" spans="1:20" x14ac:dyDescent="0.35">
      <c r="A106" s="1">
        <f t="shared" si="2"/>
        <v>104</v>
      </c>
      <c r="B106" s="1">
        <v>1</v>
      </c>
      <c r="C106" t="s">
        <v>249</v>
      </c>
      <c r="D106" t="s">
        <v>17</v>
      </c>
      <c r="E106" s="3">
        <v>46139</v>
      </c>
      <c r="F106" s="1" t="s">
        <v>82</v>
      </c>
      <c r="G106" s="1" cm="1">
        <f t="array" ref="G106">IFERROR(_xlfn.IFS(FACILITIES[[#This Row],[MÊS]]="JANEIRO",1,FACILITIES[[#This Row],[MÊS]]="FEVEREIRO",2,FACILITIES[[#This Row],[MÊS]]="MARÇO",3,FACILITIES[[#This Row],[MÊS]]="ABRIL",4,FACILITIES[[#This Row],[MÊS]]="MAIO",5,FACILITIES[[#This Row],[MÊS]]="JUNHO",6,FACILITIES[[#This Row],[MÊS]]="JULHO",7,FACILITIES[[#This Row],[MÊS]]="AGOSTO",8,FACILITIES[[#This Row],[MÊS]]="SETEMBRO",9,FACILITIES[[#This Row],[MÊS]]="OUTUBRO",10,FACILITIES[[#This Row],[MÊS]]="NOVEMBRO",11,FACILITIES[[#This Row],[MÊS]]="DEZEMBRO",12),"")</f>
        <v>4</v>
      </c>
      <c r="H106" s="1">
        <v>2026</v>
      </c>
      <c r="I106" t="s">
        <v>63</v>
      </c>
      <c r="J106" t="s">
        <v>64</v>
      </c>
      <c r="K106" t="s">
        <v>67</v>
      </c>
      <c r="L106" s="6">
        <v>46146</v>
      </c>
      <c r="M106" s="6">
        <v>46147</v>
      </c>
      <c r="N106" s="1" t="str">
        <f>IF(FACILITIES[[#This Row],[DATA FINALIZAÇÃO]]&lt;&gt;0,"Finalizado",IF(FACILITIES[[#This Row],[DATA INICIO]]&lt;&gt;0,"Em andamento","Pendente"))</f>
        <v>Finalizado</v>
      </c>
      <c r="O106" s="10">
        <f>IF(FACILITIES[[#This Row],[DATA FINALIZAÇÃO]]-FACILITIES[[#This Row],[DATA INICIO]]&lt;0,0,INT(FACILITIES[[#This Row],[DATA FINALIZAÇÃO]]-FACILITIES[[#This Row],[DATA INICIO]]))</f>
        <v>1</v>
      </c>
      <c r="P106" s="1" t="s">
        <v>70</v>
      </c>
      <c r="Q106" s="1" t="s">
        <v>71</v>
      </c>
      <c r="R106" s="9">
        <v>1434</v>
      </c>
      <c r="S106" t="s">
        <v>250</v>
      </c>
      <c r="T106" t="s">
        <v>251</v>
      </c>
    </row>
    <row r="107" spans="1:20" x14ac:dyDescent="0.35">
      <c r="A107" s="1">
        <f t="shared" si="2"/>
        <v>105</v>
      </c>
      <c r="B107" s="1">
        <v>1</v>
      </c>
      <c r="C107" t="s">
        <v>213</v>
      </c>
      <c r="D107" t="s">
        <v>9</v>
      </c>
      <c r="E107" s="3">
        <v>46140</v>
      </c>
      <c r="F107" s="1" t="s">
        <v>82</v>
      </c>
      <c r="G107" s="1" cm="1">
        <f t="array" ref="G107">IFERROR(_xlfn.IFS(FACILITIES[[#This Row],[MÊS]]="JANEIRO",1,FACILITIES[[#This Row],[MÊS]]="FEVEREIRO",2,FACILITIES[[#This Row],[MÊS]]="MARÇO",3,FACILITIES[[#This Row],[MÊS]]="ABRIL",4,FACILITIES[[#This Row],[MÊS]]="MAIO",5,FACILITIES[[#This Row],[MÊS]]="JUNHO",6,FACILITIES[[#This Row],[MÊS]]="JULHO",7,FACILITIES[[#This Row],[MÊS]]="AGOSTO",8,FACILITIES[[#This Row],[MÊS]]="SETEMBRO",9,FACILITIES[[#This Row],[MÊS]]="OUTUBRO",10,FACILITIES[[#This Row],[MÊS]]="NOVEMBRO",11,FACILITIES[[#This Row],[MÊS]]="DEZEMBRO",12),"")</f>
        <v>4</v>
      </c>
      <c r="H107" s="1">
        <v>2026</v>
      </c>
      <c r="I107" t="s">
        <v>54</v>
      </c>
      <c r="J107" t="s">
        <v>64</v>
      </c>
      <c r="K107" t="s">
        <v>67</v>
      </c>
      <c r="L107" s="6">
        <v>46140</v>
      </c>
      <c r="M107" s="6">
        <v>46141</v>
      </c>
      <c r="N107" s="1" t="str">
        <f>IF(FACILITIES[[#This Row],[DATA FINALIZAÇÃO]]&lt;&gt;0,"Finalizado",IF(FACILITIES[[#This Row],[DATA INICIO]]&lt;&gt;0,"Em andamento","Pendente"))</f>
        <v>Finalizado</v>
      </c>
      <c r="O107" s="10">
        <f>IF(FACILITIES[[#This Row],[DATA FINALIZAÇÃO]]-FACILITIES[[#This Row],[DATA INICIO]]&lt;0,0,INT(FACILITIES[[#This Row],[DATA FINALIZAÇÃO]]-FACILITIES[[#This Row],[DATA INICIO]]))</f>
        <v>1</v>
      </c>
      <c r="P107" s="1" t="s">
        <v>70</v>
      </c>
      <c r="Q107" s="1" t="s">
        <v>71</v>
      </c>
      <c r="R107" s="9">
        <v>460</v>
      </c>
      <c r="S107" t="s">
        <v>253</v>
      </c>
      <c r="T107" t="s">
        <v>252</v>
      </c>
    </row>
    <row r="108" spans="1:20" x14ac:dyDescent="0.35">
      <c r="A108" s="1">
        <f t="shared" si="2"/>
        <v>106</v>
      </c>
      <c r="B108" s="1">
        <v>1</v>
      </c>
      <c r="C108" t="s">
        <v>89</v>
      </c>
      <c r="D108" t="s">
        <v>18</v>
      </c>
      <c r="E108" s="3">
        <v>46140</v>
      </c>
      <c r="F108" s="1" t="s">
        <v>82</v>
      </c>
      <c r="G108" s="1" cm="1">
        <f t="array" ref="G108">IFERROR(_xlfn.IFS(FACILITIES[[#This Row],[MÊS]]="JANEIRO",1,FACILITIES[[#This Row],[MÊS]]="FEVEREIRO",2,FACILITIES[[#This Row],[MÊS]]="MARÇO",3,FACILITIES[[#This Row],[MÊS]]="ABRIL",4,FACILITIES[[#This Row],[MÊS]]="MAIO",5,FACILITIES[[#This Row],[MÊS]]="JUNHO",6,FACILITIES[[#This Row],[MÊS]]="JULHO",7,FACILITIES[[#This Row],[MÊS]]="AGOSTO",8,FACILITIES[[#This Row],[MÊS]]="SETEMBRO",9,FACILITIES[[#This Row],[MÊS]]="OUTUBRO",10,FACILITIES[[#This Row],[MÊS]]="NOVEMBRO",11,FACILITIES[[#This Row],[MÊS]]="DEZEMBRO",12),"")</f>
        <v>4</v>
      </c>
      <c r="H108" s="1">
        <v>2026</v>
      </c>
      <c r="I108" t="s">
        <v>51</v>
      </c>
      <c r="J108" t="s">
        <v>64</v>
      </c>
      <c r="K108" t="s">
        <v>67</v>
      </c>
      <c r="L108" s="6">
        <v>46140</v>
      </c>
      <c r="M108" s="6">
        <v>46140</v>
      </c>
      <c r="N108" s="1" t="str">
        <f>IF(FACILITIES[[#This Row],[DATA FINALIZAÇÃO]]&lt;&gt;0,"Finalizado",IF(FACILITIES[[#This Row],[DATA INICIO]]&lt;&gt;0,"Em andamento","Pendente"))</f>
        <v>Finalizado</v>
      </c>
      <c r="O108" s="10">
        <f>IF(FACILITIES[[#This Row],[DATA FINALIZAÇÃO]]-FACILITIES[[#This Row],[DATA INICIO]]&lt;0,0,INT(FACILITIES[[#This Row],[DATA FINALIZAÇÃO]]-FACILITIES[[#This Row],[DATA INICIO]]))</f>
        <v>0</v>
      </c>
      <c r="P108" s="1" t="s">
        <v>70</v>
      </c>
      <c r="Q108" s="1" t="s">
        <v>71</v>
      </c>
      <c r="R108" s="9">
        <v>980</v>
      </c>
      <c r="S108" t="s">
        <v>254</v>
      </c>
      <c r="T108" t="s">
        <v>255</v>
      </c>
    </row>
    <row r="109" spans="1:20" x14ac:dyDescent="0.35">
      <c r="A109" s="1">
        <f t="shared" si="2"/>
        <v>107</v>
      </c>
      <c r="B109" s="1">
        <v>1</v>
      </c>
      <c r="C109" t="s">
        <v>134</v>
      </c>
      <c r="D109" t="s">
        <v>4</v>
      </c>
      <c r="E109" s="3">
        <v>46140</v>
      </c>
      <c r="F109" s="1" t="s">
        <v>82</v>
      </c>
      <c r="G109" s="1" cm="1">
        <f t="array" ref="G109">IFERROR(_xlfn.IFS(FACILITIES[[#This Row],[MÊS]]="JANEIRO",1,FACILITIES[[#This Row],[MÊS]]="FEVEREIRO",2,FACILITIES[[#This Row],[MÊS]]="MARÇO",3,FACILITIES[[#This Row],[MÊS]]="ABRIL",4,FACILITIES[[#This Row],[MÊS]]="MAIO",5,FACILITIES[[#This Row],[MÊS]]="JUNHO",6,FACILITIES[[#This Row],[MÊS]]="JULHO",7,FACILITIES[[#This Row],[MÊS]]="AGOSTO",8,FACILITIES[[#This Row],[MÊS]]="SETEMBRO",9,FACILITIES[[#This Row],[MÊS]]="OUTUBRO",10,FACILITIES[[#This Row],[MÊS]]="NOVEMBRO",11,FACILITIES[[#This Row],[MÊS]]="DEZEMBRO",12),"")</f>
        <v>4</v>
      </c>
      <c r="H109" s="1">
        <v>2026</v>
      </c>
      <c r="I109" t="s">
        <v>41</v>
      </c>
      <c r="J109" t="s">
        <v>64</v>
      </c>
      <c r="K109" t="s">
        <v>67</v>
      </c>
      <c r="L109" s="6">
        <v>46140</v>
      </c>
      <c r="M109" s="6">
        <v>46140</v>
      </c>
      <c r="N109" s="1" t="str">
        <f>IF(FACILITIES[[#This Row],[DATA FINALIZAÇÃO]]&lt;&gt;0,"Finalizado",IF(FACILITIES[[#This Row],[DATA INICIO]]&lt;&gt;0,"Em andamento","Pendente"))</f>
        <v>Finalizado</v>
      </c>
      <c r="O109" s="10">
        <f>IF(FACILITIES[[#This Row],[DATA FINALIZAÇÃO]]-FACILITIES[[#This Row],[DATA INICIO]]&lt;0,0,INT(FACILITIES[[#This Row],[DATA FINALIZAÇÃO]]-FACILITIES[[#This Row],[DATA INICIO]]))</f>
        <v>0</v>
      </c>
      <c r="P109" s="1" t="s">
        <v>70</v>
      </c>
      <c r="Q109" s="1" t="s">
        <v>70</v>
      </c>
      <c r="R109" s="9">
        <v>0</v>
      </c>
      <c r="S109" t="s">
        <v>257</v>
      </c>
      <c r="T109" t="s">
        <v>256</v>
      </c>
    </row>
    <row r="110" spans="1:20" x14ac:dyDescent="0.35">
      <c r="A110" s="1">
        <f t="shared" si="2"/>
        <v>108</v>
      </c>
      <c r="B110" s="1">
        <v>1</v>
      </c>
      <c r="C110" t="s">
        <v>98</v>
      </c>
      <c r="D110" t="s">
        <v>26</v>
      </c>
      <c r="E110" s="3">
        <v>46164</v>
      </c>
      <c r="F110" s="1" t="s">
        <v>83</v>
      </c>
      <c r="G110" s="1" cm="1">
        <f t="array" ref="G110">IFERROR(_xlfn.IFS(FACILITIES[[#This Row],[MÊS]]="JANEIRO",1,FACILITIES[[#This Row],[MÊS]]="FEVEREIRO",2,FACILITIES[[#This Row],[MÊS]]="MARÇO",3,FACILITIES[[#This Row],[MÊS]]="ABRIL",4,FACILITIES[[#This Row],[MÊS]]="MAIO",5,FACILITIES[[#This Row],[MÊS]]="JUNHO",6,FACILITIES[[#This Row],[MÊS]]="JULHO",7,FACILITIES[[#This Row],[MÊS]]="AGOSTO",8,FACILITIES[[#This Row],[MÊS]]="SETEMBRO",9,FACILITIES[[#This Row],[MÊS]]="OUTUBRO",10,FACILITIES[[#This Row],[MÊS]]="NOVEMBRO",11,FACILITIES[[#This Row],[MÊS]]="DEZEMBRO",12),"")</f>
        <v>5</v>
      </c>
      <c r="H110" s="1">
        <v>2026</v>
      </c>
      <c r="I110" t="s">
        <v>128</v>
      </c>
      <c r="J110" t="s">
        <v>64</v>
      </c>
      <c r="K110" t="s">
        <v>67</v>
      </c>
      <c r="L110" s="6">
        <v>46164</v>
      </c>
      <c r="M110" s="6">
        <v>46174</v>
      </c>
      <c r="N110" s="1" t="str">
        <f>IF(FACILITIES[[#This Row],[DATA FINALIZAÇÃO]]&lt;&gt;0,"Finalizado",IF(FACILITIES[[#This Row],[DATA INICIO]]&lt;&gt;0,"Em andamento","Pendente"))</f>
        <v>Finalizado</v>
      </c>
      <c r="O110" s="10">
        <f>IF(FACILITIES[[#This Row],[DATA FINALIZAÇÃO]]-FACILITIES[[#This Row],[DATA INICIO]]&lt;0,0,INT(FACILITIES[[#This Row],[DATA FINALIZAÇÃO]]-FACILITIES[[#This Row],[DATA INICIO]]))</f>
        <v>10</v>
      </c>
      <c r="P110" s="1" t="s">
        <v>70</v>
      </c>
      <c r="Q110" s="1" t="s">
        <v>71</v>
      </c>
      <c r="R110" s="9">
        <v>45</v>
      </c>
      <c r="S110" t="s">
        <v>258</v>
      </c>
      <c r="T110" t="s">
        <v>259</v>
      </c>
    </row>
    <row r="111" spans="1:20" x14ac:dyDescent="0.35">
      <c r="A111" s="1">
        <f t="shared" si="2"/>
        <v>109</v>
      </c>
      <c r="B111" s="1">
        <v>1</v>
      </c>
      <c r="C111" t="s">
        <v>98</v>
      </c>
      <c r="D111" t="s">
        <v>26</v>
      </c>
      <c r="E111" s="3">
        <v>46164</v>
      </c>
      <c r="F111" s="1" t="s">
        <v>83</v>
      </c>
      <c r="G111" s="1" cm="1">
        <f t="array" ref="G111">IFERROR(_xlfn.IFS(FACILITIES[[#This Row],[MÊS]]="JANEIRO",1,FACILITIES[[#This Row],[MÊS]]="FEVEREIRO",2,FACILITIES[[#This Row],[MÊS]]="MARÇO",3,FACILITIES[[#This Row],[MÊS]]="ABRIL",4,FACILITIES[[#This Row],[MÊS]]="MAIO",5,FACILITIES[[#This Row],[MÊS]]="JUNHO",6,FACILITIES[[#This Row],[MÊS]]="JULHO",7,FACILITIES[[#This Row],[MÊS]]="AGOSTO",8,FACILITIES[[#This Row],[MÊS]]="SETEMBRO",9,FACILITIES[[#This Row],[MÊS]]="OUTUBRO",10,FACILITIES[[#This Row],[MÊS]]="NOVEMBRO",11,FACILITIES[[#This Row],[MÊS]]="DEZEMBRO",12),"")</f>
        <v>5</v>
      </c>
      <c r="H111" s="1">
        <v>2026</v>
      </c>
      <c r="I111" t="s">
        <v>39</v>
      </c>
      <c r="J111" t="s">
        <v>64</v>
      </c>
      <c r="K111" t="s">
        <v>67</v>
      </c>
      <c r="L111" s="6">
        <v>46164</v>
      </c>
      <c r="M111" s="6">
        <v>46164</v>
      </c>
      <c r="N111" s="1" t="str">
        <f>IF(FACILITIES[[#This Row],[DATA FINALIZAÇÃO]]&lt;&gt;0,"Finalizado",IF(FACILITIES[[#This Row],[DATA INICIO]]&lt;&gt;0,"Em andamento","Pendente"))</f>
        <v>Finalizado</v>
      </c>
      <c r="O111" s="10">
        <f>IF(FACILITIES[[#This Row],[DATA FINALIZAÇÃO]]-FACILITIES[[#This Row],[DATA INICIO]]&lt;0,0,INT(FACILITIES[[#This Row],[DATA FINALIZAÇÃO]]-FACILITIES[[#This Row],[DATA INICIO]]))</f>
        <v>0</v>
      </c>
      <c r="P111" s="1" t="s">
        <v>70</v>
      </c>
      <c r="Q111" s="1" t="s">
        <v>71</v>
      </c>
      <c r="R111" s="9">
        <v>0</v>
      </c>
      <c r="S111" t="s">
        <v>260</v>
      </c>
      <c r="T111" t="s">
        <v>261</v>
      </c>
    </row>
    <row r="112" spans="1:20" x14ac:dyDescent="0.35">
      <c r="A112" s="1">
        <f t="shared" si="2"/>
        <v>110</v>
      </c>
      <c r="B112" s="1">
        <v>1</v>
      </c>
      <c r="C112" t="s">
        <v>97</v>
      </c>
      <c r="D112" t="s">
        <v>21</v>
      </c>
      <c r="E112" s="3">
        <v>46164</v>
      </c>
      <c r="F112" s="1" t="s">
        <v>83</v>
      </c>
      <c r="G112" s="1" cm="1">
        <f t="array" ref="G112">IFERROR(_xlfn.IFS(FACILITIES[[#This Row],[MÊS]]="JANEIRO",1,FACILITIES[[#This Row],[MÊS]]="FEVEREIRO",2,FACILITIES[[#This Row],[MÊS]]="MARÇO",3,FACILITIES[[#This Row],[MÊS]]="ABRIL",4,FACILITIES[[#This Row],[MÊS]]="MAIO",5,FACILITIES[[#This Row],[MÊS]]="JUNHO",6,FACILITIES[[#This Row],[MÊS]]="JULHO",7,FACILITIES[[#This Row],[MÊS]]="AGOSTO",8,FACILITIES[[#This Row],[MÊS]]="SETEMBRO",9,FACILITIES[[#This Row],[MÊS]]="OUTUBRO",10,FACILITIES[[#This Row],[MÊS]]="NOVEMBRO",11,FACILITIES[[#This Row],[MÊS]]="DEZEMBRO",12),"")</f>
        <v>5</v>
      </c>
      <c r="H112" s="1">
        <v>2026</v>
      </c>
      <c r="I112" t="s">
        <v>58</v>
      </c>
      <c r="J112" t="s">
        <v>64</v>
      </c>
      <c r="K112" t="s">
        <v>69</v>
      </c>
      <c r="L112" s="6">
        <v>46167</v>
      </c>
      <c r="M112" s="6">
        <v>46170</v>
      </c>
      <c r="N112" s="1" t="str">
        <f>IF(FACILITIES[[#This Row],[DATA FINALIZAÇÃO]]&lt;&gt;0,"Finalizado",IF(FACILITIES[[#This Row],[DATA INICIO]]&lt;&gt;0,"Em andamento","Pendente"))</f>
        <v>Finalizado</v>
      </c>
      <c r="O112" s="10">
        <f>IF(FACILITIES[[#This Row],[DATA FINALIZAÇÃO]]-FACILITIES[[#This Row],[DATA INICIO]]&lt;0,0,INT(FACILITIES[[#This Row],[DATA FINALIZAÇÃO]]-FACILITIES[[#This Row],[DATA INICIO]]))</f>
        <v>3</v>
      </c>
      <c r="P112" s="1" t="s">
        <v>70</v>
      </c>
      <c r="Q112" s="1" t="s">
        <v>71</v>
      </c>
      <c r="R112" s="9">
        <v>755.36</v>
      </c>
      <c r="S112" t="s">
        <v>263</v>
      </c>
      <c r="T112" t="s">
        <v>264</v>
      </c>
    </row>
    <row r="113" spans="1:20" x14ac:dyDescent="0.35">
      <c r="A113" s="1">
        <f t="shared" si="2"/>
        <v>111</v>
      </c>
      <c r="B113" s="1">
        <v>1</v>
      </c>
      <c r="C113" t="s">
        <v>97</v>
      </c>
      <c r="D113" t="s">
        <v>21</v>
      </c>
      <c r="E113" s="3">
        <v>46167</v>
      </c>
      <c r="F113" s="1" t="s">
        <v>83</v>
      </c>
      <c r="G113" s="1" cm="1">
        <f t="array" ref="G113">IFERROR(_xlfn.IFS(FACILITIES[[#This Row],[MÊS]]="JANEIRO",1,FACILITIES[[#This Row],[MÊS]]="FEVEREIRO",2,FACILITIES[[#This Row],[MÊS]]="MARÇO",3,FACILITIES[[#This Row],[MÊS]]="ABRIL",4,FACILITIES[[#This Row],[MÊS]]="MAIO",5,FACILITIES[[#This Row],[MÊS]]="JUNHO",6,FACILITIES[[#This Row],[MÊS]]="JULHO",7,FACILITIES[[#This Row],[MÊS]]="AGOSTO",8,FACILITIES[[#This Row],[MÊS]]="SETEMBRO",9,FACILITIES[[#This Row],[MÊS]]="OUTUBRO",10,FACILITIES[[#This Row],[MÊS]]="NOVEMBRO",11,FACILITIES[[#This Row],[MÊS]]="DEZEMBRO",12),"")</f>
        <v>5</v>
      </c>
      <c r="H113" s="1">
        <v>2026</v>
      </c>
      <c r="I113" t="s">
        <v>58</v>
      </c>
      <c r="J113" t="s">
        <v>64</v>
      </c>
      <c r="K113" t="s">
        <v>69</v>
      </c>
      <c r="L113" s="6">
        <v>46169</v>
      </c>
      <c r="M113" s="6">
        <v>46182</v>
      </c>
      <c r="N113" s="1" t="str">
        <f>IF(FACILITIES[[#This Row],[DATA FINALIZAÇÃO]]&lt;&gt;0,"Finalizado",IF(FACILITIES[[#This Row],[DATA INICIO]]&lt;&gt;0,"Em andamento","Pendente"))</f>
        <v>Finalizado</v>
      </c>
      <c r="O113" s="10">
        <f>IF(FACILITIES[[#This Row],[DATA FINALIZAÇÃO]]-FACILITIES[[#This Row],[DATA INICIO]]&lt;0,0,INT(FACILITIES[[#This Row],[DATA FINALIZAÇÃO]]-FACILITIES[[#This Row],[DATA INICIO]]))</f>
        <v>13</v>
      </c>
      <c r="P113" s="1" t="s">
        <v>70</v>
      </c>
      <c r="Q113" s="1" t="s">
        <v>71</v>
      </c>
      <c r="R113" s="9">
        <v>2000.08</v>
      </c>
      <c r="S113" t="s">
        <v>266</v>
      </c>
      <c r="T113" t="s">
        <v>265</v>
      </c>
    </row>
    <row r="114" spans="1:20" x14ac:dyDescent="0.35">
      <c r="A114" s="1">
        <f t="shared" si="2"/>
        <v>112</v>
      </c>
      <c r="B114" s="1">
        <v>1</v>
      </c>
      <c r="C114" t="s">
        <v>97</v>
      </c>
      <c r="D114" t="s">
        <v>21</v>
      </c>
      <c r="E114" s="3">
        <v>46170</v>
      </c>
      <c r="F114" s="1" t="s">
        <v>83</v>
      </c>
      <c r="G114" s="1" cm="1">
        <f t="array" ref="G114">IFERROR(_xlfn.IFS(FACILITIES[[#This Row],[MÊS]]="JANEIRO",1,FACILITIES[[#This Row],[MÊS]]="FEVEREIRO",2,FACILITIES[[#This Row],[MÊS]]="MARÇO",3,FACILITIES[[#This Row],[MÊS]]="ABRIL",4,FACILITIES[[#This Row],[MÊS]]="MAIO",5,FACILITIES[[#This Row],[MÊS]]="JUNHO",6,FACILITIES[[#This Row],[MÊS]]="JULHO",7,FACILITIES[[#This Row],[MÊS]]="AGOSTO",8,FACILITIES[[#This Row],[MÊS]]="SETEMBRO",9,FACILITIES[[#This Row],[MÊS]]="OUTUBRO",10,FACILITIES[[#This Row],[MÊS]]="NOVEMBRO",11,FACILITIES[[#This Row],[MÊS]]="DEZEMBRO",12),"")</f>
        <v>5</v>
      </c>
      <c r="H114" s="1">
        <v>2026</v>
      </c>
      <c r="I114" t="s">
        <v>56</v>
      </c>
      <c r="J114" t="s">
        <v>64</v>
      </c>
      <c r="K114" t="s">
        <v>67</v>
      </c>
      <c r="L114" s="6">
        <v>46170</v>
      </c>
      <c r="M114" s="6">
        <v>46170</v>
      </c>
      <c r="N114" s="1" t="str">
        <f>IF(FACILITIES[[#This Row],[DATA FINALIZAÇÃO]]&lt;&gt;0,"Finalizado",IF(FACILITIES[[#This Row],[DATA INICIO]]&lt;&gt;0,"Em andamento","Pendente"))</f>
        <v>Finalizado</v>
      </c>
      <c r="O114" s="10">
        <f>IF(FACILITIES[[#This Row],[DATA FINALIZAÇÃO]]-FACILITIES[[#This Row],[DATA INICIO]]&lt;0,0,INT(FACILITIES[[#This Row],[DATA FINALIZAÇÃO]]-FACILITIES[[#This Row],[DATA INICIO]]))</f>
        <v>0</v>
      </c>
      <c r="P114" s="1" t="s">
        <v>70</v>
      </c>
      <c r="Q114" s="1" t="s">
        <v>71</v>
      </c>
      <c r="S114" t="s">
        <v>267</v>
      </c>
      <c r="T114" t="s">
        <v>268</v>
      </c>
    </row>
    <row r="115" spans="1:20" x14ac:dyDescent="0.35">
      <c r="A115" s="12">
        <f>ROW(A113)</f>
        <v>113</v>
      </c>
      <c r="B115" s="1">
        <v>1</v>
      </c>
      <c r="C115" t="s">
        <v>155</v>
      </c>
      <c r="D115" t="s">
        <v>8</v>
      </c>
      <c r="E115" s="3">
        <v>46171</v>
      </c>
      <c r="F115" s="1" t="s">
        <v>83</v>
      </c>
      <c r="G115" s="12" cm="1">
        <f t="array" ref="G115">IFERROR(_xlfn.IFS(FACILITIES[[#This Row],[MÊS]]="JANEIRO",1,FACILITIES[[#This Row],[MÊS]]="FEVEREIRO",2,FACILITIES[[#This Row],[MÊS]]="MARÇO",3,FACILITIES[[#This Row],[MÊS]]="ABRIL",4,FACILITIES[[#This Row],[MÊS]]="MAIO",5,FACILITIES[[#This Row],[MÊS]]="JUNHO",6,FACILITIES[[#This Row],[MÊS]]="JULHO",7,FACILITIES[[#This Row],[MÊS]]="AGOSTO",8,FACILITIES[[#This Row],[MÊS]]="SETEMBRO",9,FACILITIES[[#This Row],[MÊS]]="OUTUBRO",10,FACILITIES[[#This Row],[MÊS]]="NOVEMBRO",11,FACILITIES[[#This Row],[MÊS]]="DEZEMBRO",12),"")</f>
        <v>5</v>
      </c>
      <c r="H115" s="1">
        <v>2026</v>
      </c>
      <c r="I115" t="s">
        <v>63</v>
      </c>
      <c r="J115" t="s">
        <v>64</v>
      </c>
      <c r="K115" t="s">
        <v>67</v>
      </c>
      <c r="N115" s="12" t="str">
        <f>IF(FACILITIES[[#This Row],[DATA FINALIZAÇÃO]]&lt;&gt;0,"Finalizado",IF(FACILITIES[[#This Row],[DATA INICIO]]&lt;&gt;0,"Em andamento","Pendente"))</f>
        <v>Pendente</v>
      </c>
      <c r="O115" s="10">
        <f>IF(FACILITIES[[#This Row],[DATA FINALIZAÇÃO]]-FACILITIES[[#This Row],[DATA INICIO]]&lt;0,0,INT(FACILITIES[[#This Row],[DATA FINALIZAÇÃO]]-FACILITIES[[#This Row],[DATA INICIO]]))</f>
        <v>0</v>
      </c>
      <c r="P115" s="1" t="s">
        <v>70</v>
      </c>
      <c r="Q115" s="1" t="s">
        <v>70</v>
      </c>
      <c r="S115" t="s">
        <v>271</v>
      </c>
      <c r="T115" t="s">
        <v>269</v>
      </c>
    </row>
    <row r="116" spans="1:20" x14ac:dyDescent="0.35">
      <c r="A116" s="12">
        <f>ROW(A114)</f>
        <v>114</v>
      </c>
      <c r="B116" s="1">
        <v>1</v>
      </c>
      <c r="C116" t="s">
        <v>155</v>
      </c>
      <c r="D116" t="s">
        <v>8</v>
      </c>
      <c r="E116" s="3">
        <v>46171</v>
      </c>
      <c r="F116" s="1" t="s">
        <v>83</v>
      </c>
      <c r="G116" s="12" cm="1">
        <f t="array" ref="G116">IFERROR(_xlfn.IFS(FACILITIES[[#This Row],[MÊS]]="JANEIRO",1,FACILITIES[[#This Row],[MÊS]]="FEVEREIRO",2,FACILITIES[[#This Row],[MÊS]]="MARÇO",3,FACILITIES[[#This Row],[MÊS]]="ABRIL",4,FACILITIES[[#This Row],[MÊS]]="MAIO",5,FACILITIES[[#This Row],[MÊS]]="JUNHO",6,FACILITIES[[#This Row],[MÊS]]="JULHO",7,FACILITIES[[#This Row],[MÊS]]="AGOSTO",8,FACILITIES[[#This Row],[MÊS]]="SETEMBRO",9,FACILITIES[[#This Row],[MÊS]]="OUTUBRO",10,FACILITIES[[#This Row],[MÊS]]="NOVEMBRO",11,FACILITIES[[#This Row],[MÊS]]="DEZEMBRO",12),"")</f>
        <v>5</v>
      </c>
      <c r="H116" s="1">
        <v>2026</v>
      </c>
      <c r="I116" t="s">
        <v>63</v>
      </c>
      <c r="J116" t="s">
        <v>64</v>
      </c>
      <c r="K116" t="s">
        <v>67</v>
      </c>
      <c r="N116" s="12" t="str">
        <f>IF(FACILITIES[[#This Row],[DATA FINALIZAÇÃO]]&lt;&gt;0,"Finalizado",IF(FACILITIES[[#This Row],[DATA INICIO]]&lt;&gt;0,"Em andamento","Pendente"))</f>
        <v>Pendente</v>
      </c>
      <c r="O116" s="10">
        <f>IF(FACILITIES[[#This Row],[DATA FINALIZAÇÃO]]-FACILITIES[[#This Row],[DATA INICIO]]&lt;0,0,INT(FACILITIES[[#This Row],[DATA FINALIZAÇÃO]]-FACILITIES[[#This Row],[DATA INICIO]]))</f>
        <v>0</v>
      </c>
      <c r="S116" t="s">
        <v>272</v>
      </c>
      <c r="T116" t="s">
        <v>270</v>
      </c>
    </row>
  </sheetData>
  <conditionalFormatting sqref="N3:N116">
    <cfRule type="containsText" dxfId="8" priority="1" operator="containsText" text="Em andamento">
      <formula>NOT(ISERROR(SEARCH("Em andamento",N3)))</formula>
    </cfRule>
    <cfRule type="containsText" dxfId="7" priority="2" operator="containsText" text="Finalizado">
      <formula>NOT(ISERROR(SEARCH("Finalizado",N3)))</formula>
    </cfRule>
    <cfRule type="containsText" dxfId="6" priority="3" operator="containsText" text="Pendente">
      <formula>NOT(ISERROR(SEARCH("Pendente",N3)))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29F986D2-6B49-41DF-8FD5-52531299E085}">
          <x14:formula1>
            <xm:f>'LISTA SUSPENSA'!$B$2:$B$30</xm:f>
          </x14:formula1>
          <xm:sqref>I3:I116</xm:sqref>
        </x14:dataValidation>
        <x14:dataValidation type="list" allowBlank="1" showInputMessage="1" showErrorMessage="1" xr:uid="{1FC510C6-A8CB-4235-B989-8E2EED57341D}">
          <x14:formula1>
            <xm:f>'LISTA SUSPENSA'!$D$2:$D$5</xm:f>
          </x14:formula1>
          <xm:sqref>K3:K116</xm:sqref>
        </x14:dataValidation>
        <x14:dataValidation type="list" allowBlank="1" showInputMessage="1" showErrorMessage="1" xr:uid="{7C514663-CE54-4872-9E59-E2C654B60FE3}">
          <x14:formula1>
            <xm:f>'LISTA SUSPENSA'!$C$2:$C$3</xm:f>
          </x14:formula1>
          <xm:sqref>J3:J116</xm:sqref>
        </x14:dataValidation>
        <x14:dataValidation type="list" allowBlank="1" showInputMessage="1" showErrorMessage="1" xr:uid="{EC9767E8-DF1F-47C7-89AE-614A71AC8511}">
          <x14:formula1>
            <xm:f>'LISTA SUSPENSA'!$G$2:$G$13</xm:f>
          </x14:formula1>
          <xm:sqref>F3:F116</xm:sqref>
        </x14:dataValidation>
        <x14:dataValidation type="list" allowBlank="1" showInputMessage="1" showErrorMessage="1" xr:uid="{87764DA7-EDDD-44C7-B446-1D86C537B9F1}">
          <x14:formula1>
            <xm:f>'LISTA SUSPENSA'!$E$2:$E$3</xm:f>
          </x14:formula1>
          <xm:sqref>P3:P116</xm:sqref>
        </x14:dataValidation>
        <x14:dataValidation type="list" allowBlank="1" showInputMessage="1" showErrorMessage="1" xr:uid="{073FA6D0-D7C8-4C15-B452-8FDA27CC2222}">
          <x14:formula1>
            <xm:f>'LISTA SUSPENSA'!$F$2:$F$3</xm:f>
          </x14:formula1>
          <xm:sqref>Q3:Q116</xm:sqref>
        </x14:dataValidation>
        <x14:dataValidation type="list" allowBlank="1" showInputMessage="1" showErrorMessage="1" xr:uid="{65829826-8AC7-4540-B5CF-17F9706C23C1}">
          <x14:formula1>
            <xm:f>'LISTA SUSPENSA'!$A$2:$A$25</xm:f>
          </x14:formula1>
          <xm:sqref>D3:D116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1CDA2-609D-4950-97D9-F9E1960E0407}">
  <dimension ref="A1:J30"/>
  <sheetViews>
    <sheetView workbookViewId="0">
      <selection activeCell="D2" sqref="D2"/>
    </sheetView>
  </sheetViews>
  <sheetFormatPr defaultRowHeight="14.5" x14ac:dyDescent="0.35"/>
  <cols>
    <col min="1" max="1" width="6.6328125" bestFit="1" customWidth="1"/>
    <col min="2" max="2" width="61.90625" bestFit="1" customWidth="1"/>
    <col min="3" max="3" width="18.81640625" customWidth="1"/>
    <col min="4" max="4" width="18.26953125" bestFit="1" customWidth="1"/>
    <col min="5" max="6" width="25.54296875" customWidth="1"/>
    <col min="7" max="7" width="13.81640625" bestFit="1" customWidth="1"/>
  </cols>
  <sheetData>
    <row r="1" spans="1:9" x14ac:dyDescent="0.35">
      <c r="A1" s="2" t="s">
        <v>2</v>
      </c>
      <c r="B1" s="2" t="s">
        <v>34</v>
      </c>
      <c r="C1" s="2" t="s">
        <v>30</v>
      </c>
      <c r="D1" s="2" t="s">
        <v>31</v>
      </c>
      <c r="E1" s="2" t="s">
        <v>73</v>
      </c>
      <c r="F1" s="2" t="s">
        <v>35</v>
      </c>
      <c r="G1" s="2" t="s">
        <v>28</v>
      </c>
      <c r="I1" s="2"/>
    </row>
    <row r="2" spans="1:9" x14ac:dyDescent="0.35">
      <c r="A2" t="s">
        <v>3</v>
      </c>
      <c r="B2" t="s">
        <v>59</v>
      </c>
      <c r="C2" t="s">
        <v>64</v>
      </c>
      <c r="D2" t="s">
        <v>66</v>
      </c>
      <c r="E2" t="s">
        <v>70</v>
      </c>
      <c r="F2" t="s">
        <v>70</v>
      </c>
      <c r="G2" t="s">
        <v>79</v>
      </c>
    </row>
    <row r="3" spans="1:9" x14ac:dyDescent="0.35">
      <c r="A3" t="s">
        <v>4</v>
      </c>
      <c r="B3" t="s">
        <v>54</v>
      </c>
      <c r="C3" t="s">
        <v>65</v>
      </c>
      <c r="D3" t="s">
        <v>67</v>
      </c>
      <c r="E3" t="s">
        <v>71</v>
      </c>
      <c r="F3" t="s">
        <v>71</v>
      </c>
      <c r="G3" t="s">
        <v>80</v>
      </c>
    </row>
    <row r="4" spans="1:9" x14ac:dyDescent="0.35">
      <c r="A4" t="s">
        <v>5</v>
      </c>
      <c r="B4" t="s">
        <v>45</v>
      </c>
      <c r="D4" t="s">
        <v>68</v>
      </c>
      <c r="G4" t="s">
        <v>81</v>
      </c>
    </row>
    <row r="5" spans="1:9" x14ac:dyDescent="0.35">
      <c r="A5" t="s">
        <v>6</v>
      </c>
      <c r="B5" t="s">
        <v>53</v>
      </c>
      <c r="D5" t="s">
        <v>69</v>
      </c>
      <c r="G5" t="s">
        <v>82</v>
      </c>
    </row>
    <row r="6" spans="1:9" x14ac:dyDescent="0.35">
      <c r="A6" t="s">
        <v>7</v>
      </c>
      <c r="B6" t="s">
        <v>99</v>
      </c>
      <c r="G6" t="s">
        <v>83</v>
      </c>
    </row>
    <row r="7" spans="1:9" x14ac:dyDescent="0.35">
      <c r="A7" t="s">
        <v>8</v>
      </c>
      <c r="B7" t="s">
        <v>41</v>
      </c>
      <c r="G7" t="s">
        <v>78</v>
      </c>
    </row>
    <row r="8" spans="1:9" x14ac:dyDescent="0.35">
      <c r="A8" t="s">
        <v>9</v>
      </c>
      <c r="B8" t="s">
        <v>51</v>
      </c>
      <c r="G8" t="s">
        <v>84</v>
      </c>
    </row>
    <row r="9" spans="1:9" x14ac:dyDescent="0.35">
      <c r="A9" t="s">
        <v>10</v>
      </c>
      <c r="B9" t="s">
        <v>128</v>
      </c>
      <c r="G9" t="s">
        <v>85</v>
      </c>
    </row>
    <row r="10" spans="1:9" x14ac:dyDescent="0.35">
      <c r="A10" t="s">
        <v>11</v>
      </c>
      <c r="B10" t="s">
        <v>39</v>
      </c>
      <c r="G10" t="s">
        <v>75</v>
      </c>
    </row>
    <row r="11" spans="1:9" x14ac:dyDescent="0.35">
      <c r="A11" t="s">
        <v>12</v>
      </c>
      <c r="B11" t="s">
        <v>60</v>
      </c>
      <c r="G11" t="s">
        <v>77</v>
      </c>
    </row>
    <row r="12" spans="1:9" x14ac:dyDescent="0.35">
      <c r="A12" t="s">
        <v>13</v>
      </c>
      <c r="B12" t="s">
        <v>63</v>
      </c>
      <c r="G12" t="s">
        <v>86</v>
      </c>
    </row>
    <row r="13" spans="1:9" x14ac:dyDescent="0.35">
      <c r="A13" t="s">
        <v>14</v>
      </c>
      <c r="B13" t="s">
        <v>58</v>
      </c>
      <c r="G13" t="s">
        <v>87</v>
      </c>
    </row>
    <row r="14" spans="1:9" x14ac:dyDescent="0.35">
      <c r="A14" t="s">
        <v>15</v>
      </c>
      <c r="B14" t="s">
        <v>42</v>
      </c>
    </row>
    <row r="15" spans="1:9" x14ac:dyDescent="0.35">
      <c r="A15" t="s">
        <v>16</v>
      </c>
      <c r="B15" t="s">
        <v>43</v>
      </c>
    </row>
    <row r="16" spans="1:9" x14ac:dyDescent="0.35">
      <c r="A16" t="s">
        <v>17</v>
      </c>
      <c r="B16" t="s">
        <v>40</v>
      </c>
    </row>
    <row r="17" spans="1:10" x14ac:dyDescent="0.35">
      <c r="A17" t="s">
        <v>18</v>
      </c>
      <c r="B17" t="s">
        <v>48</v>
      </c>
    </row>
    <row r="18" spans="1:10" x14ac:dyDescent="0.35">
      <c r="A18" t="s">
        <v>19</v>
      </c>
      <c r="B18" t="s">
        <v>47</v>
      </c>
    </row>
    <row r="19" spans="1:10" x14ac:dyDescent="0.35">
      <c r="A19" t="s">
        <v>20</v>
      </c>
      <c r="B19" t="s">
        <v>56</v>
      </c>
    </row>
    <row r="20" spans="1:10" x14ac:dyDescent="0.35">
      <c r="A20" t="s">
        <v>21</v>
      </c>
      <c r="B20" t="s">
        <v>57</v>
      </c>
    </row>
    <row r="21" spans="1:10" x14ac:dyDescent="0.35">
      <c r="A21" t="s">
        <v>22</v>
      </c>
      <c r="B21" t="s">
        <v>52</v>
      </c>
    </row>
    <row r="22" spans="1:10" x14ac:dyDescent="0.35">
      <c r="A22" t="s">
        <v>23</v>
      </c>
      <c r="B22" t="s">
        <v>49</v>
      </c>
    </row>
    <row r="23" spans="1:10" x14ac:dyDescent="0.35">
      <c r="A23" t="s">
        <v>24</v>
      </c>
      <c r="B23" t="s">
        <v>91</v>
      </c>
    </row>
    <row r="24" spans="1:10" x14ac:dyDescent="0.35">
      <c r="A24" t="s">
        <v>25</v>
      </c>
      <c r="B24" t="s">
        <v>62</v>
      </c>
    </row>
    <row r="25" spans="1:10" x14ac:dyDescent="0.35">
      <c r="A25" t="s">
        <v>26</v>
      </c>
      <c r="B25" t="s">
        <v>50</v>
      </c>
    </row>
    <row r="26" spans="1:10" x14ac:dyDescent="0.35">
      <c r="A26" t="s">
        <v>135</v>
      </c>
      <c r="B26" t="s">
        <v>46</v>
      </c>
    </row>
    <row r="27" spans="1:10" x14ac:dyDescent="0.35">
      <c r="B27" t="s">
        <v>44</v>
      </c>
    </row>
    <row r="28" spans="1:10" x14ac:dyDescent="0.35">
      <c r="B28" t="s">
        <v>100</v>
      </c>
    </row>
    <row r="29" spans="1:10" x14ac:dyDescent="0.35">
      <c r="B29" t="s">
        <v>61</v>
      </c>
    </row>
    <row r="30" spans="1:10" x14ac:dyDescent="0.35">
      <c r="B30" t="s">
        <v>55</v>
      </c>
      <c r="J30" s="2"/>
    </row>
  </sheetData>
  <sortState xmlns:xlrd2="http://schemas.microsoft.com/office/spreadsheetml/2017/richdata2" ref="B2:B30">
    <sortCondition ref="B2:B30"/>
  </sortState>
  <phoneticPr fontId="2" type="noConversion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7998874C9DF2A40A49ECA35F11136E5" ma:contentTypeVersion="18" ma:contentTypeDescription="Crie um novo documento." ma:contentTypeScope="" ma:versionID="065b27400f0b186c67974d603933646e">
  <xsd:schema xmlns:xsd="http://www.w3.org/2001/XMLSchema" xmlns:xs="http://www.w3.org/2001/XMLSchema" xmlns:p="http://schemas.microsoft.com/office/2006/metadata/properties" xmlns:ns2="7fffc50e-d7bf-499b-afc0-146210f27e2b" xmlns:ns3="b778c75e-3458-4d39-94cb-42356e1a46ef" targetNamespace="http://schemas.microsoft.com/office/2006/metadata/properties" ma:root="true" ma:fieldsID="fa978677c23d0bbf357756e02531e37d" ns2:_="" ns3:_="">
    <xsd:import namespace="7fffc50e-d7bf-499b-afc0-146210f27e2b"/>
    <xsd:import namespace="b778c75e-3458-4d39-94cb-42356e1a46e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ffc50e-d7bf-499b-afc0-146210f27e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12c97838-52bc-4e94-a0f7-48c4b384801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78c75e-3458-4d39-94cb-42356e1a46ef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94c55100-5338-4bc1-8430-4f5a34b11e98}" ma:internalName="TaxCatchAll" ma:showField="CatchAllData" ma:web="b778c75e-3458-4d39-94cb-42356e1a46e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778c75e-3458-4d39-94cb-42356e1a46ef" xsi:nil="true"/>
    <lcf76f155ced4ddcb4097134ff3c332f xmlns="7fffc50e-d7bf-499b-afc0-146210f27e2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2A73026-BC4E-44E8-AD5F-EBC6C0073C2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F3FB6DA-0BF3-4F12-B183-A54777516577}"/>
</file>

<file path=customXml/itemProps3.xml><?xml version="1.0" encoding="utf-8"?>
<ds:datastoreItem xmlns:ds="http://schemas.openxmlformats.org/officeDocument/2006/customXml" ds:itemID="{B10410E4-03FD-4B9C-8B2A-3D3E9097A1AE}">
  <ds:schemaRefs>
    <ds:schemaRef ds:uri="http://purl.org/dc/dcmitype/"/>
    <ds:schemaRef ds:uri="http://schemas.microsoft.com/office/2006/metadata/properties"/>
    <ds:schemaRef ds:uri="http://purl.org/dc/terms/"/>
    <ds:schemaRef ds:uri="http://www.w3.org/XML/1998/namespace"/>
    <ds:schemaRef ds:uri="http://schemas.openxmlformats.org/package/2006/metadata/core-properties"/>
    <ds:schemaRef ds:uri="8357f4aa-386c-4c58-b613-10e7f84ba2b7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481b9579-2565-4348-8a5f-6accbe10b19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FACILITIES</vt:lpstr>
      <vt:lpstr>LISTA SUSPENSA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Pagano</dc:creator>
  <cp:lastModifiedBy>Juliana Santos</cp:lastModifiedBy>
  <dcterms:created xsi:type="dcterms:W3CDTF">2025-10-03T19:29:13Z</dcterms:created>
  <dcterms:modified xsi:type="dcterms:W3CDTF">2026-06-12T13:19:17Z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0x01010087998874C9DF2A40A49ECA35F11136E5</vt:lpwstr>
  </property>
</Properties>
</file>